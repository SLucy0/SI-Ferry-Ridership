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1" documentId="8_{9F977C75-0D94-474C-9FC5-A16E376281BB}" xr6:coauthVersionLast="47" xr6:coauthVersionMax="47" xr10:uidLastSave="{442B7B71-708C-4867-9201-0A32FE4D4602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4" i="2"/>
  <c r="D26" i="2"/>
  <c r="C26" i="2"/>
  <c r="E37" i="2"/>
  <c r="E38" i="2"/>
  <c r="E39" i="2"/>
  <c r="E40" i="2"/>
  <c r="E41" i="2"/>
  <c r="E42" i="2"/>
  <c r="E43" i="2"/>
  <c r="E36" i="2"/>
  <c r="D44" i="2"/>
  <c r="C44" i="2"/>
  <c r="A25" i="2"/>
  <c r="A24" i="2"/>
  <c r="A23" i="2"/>
  <c r="A43" i="2"/>
  <c r="A42" i="2"/>
  <c r="A22" i="2"/>
  <c r="A21" i="2"/>
  <c r="A20" i="2"/>
  <c r="A19" i="2"/>
  <c r="A18" i="2"/>
  <c r="A41" i="2"/>
  <c r="A40" i="2"/>
  <c r="A17" i="2"/>
  <c r="A16" i="2"/>
  <c r="A15" i="2"/>
  <c r="A14" i="2"/>
  <c r="A13" i="2"/>
  <c r="A39" i="2"/>
  <c r="A38" i="2"/>
  <c r="A12" i="2"/>
  <c r="A11" i="2"/>
  <c r="A10" i="2"/>
  <c r="A9" i="2"/>
  <c r="A8" i="2"/>
  <c r="A37" i="2"/>
  <c r="A36" i="2"/>
  <c r="A7" i="2"/>
  <c r="A6" i="2"/>
  <c r="A5" i="2"/>
  <c r="A4" i="2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6" i="1"/>
  <c r="E36" i="1" l="1"/>
  <c r="E38" i="1" s="1"/>
  <c r="E46" i="2"/>
  <c r="E29" i="2"/>
  <c r="E47" i="2"/>
  <c r="E44" i="2"/>
  <c r="E26" i="2"/>
  <c r="E28" i="2" s="1"/>
</calcChain>
</file>

<file path=xl/sharedStrings.xml><?xml version="1.0" encoding="utf-8"?>
<sst xmlns="http://schemas.openxmlformats.org/spreadsheetml/2006/main" count="23" uniqueCount="12">
  <si>
    <t>DAY</t>
  </si>
  <si>
    <t>DATE</t>
  </si>
  <si>
    <t>WHT</t>
  </si>
  <si>
    <t>STG</t>
  </si>
  <si>
    <t>COMBINED TOTAL</t>
  </si>
  <si>
    <t>TOTAL</t>
  </si>
  <si>
    <t>Total Weekday Pax Count September 2020</t>
  </si>
  <si>
    <t>Average Passengers/Weekday</t>
  </si>
  <si>
    <t>Average Saturday Passengers</t>
  </si>
  <si>
    <t>Average Sunday Passengers</t>
  </si>
  <si>
    <t>Total</t>
  </si>
  <si>
    <t>Total September Ridership: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</si>
</sst>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" fontId="2" fillId="4" borderId="15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7" fontId="3" fillId="2" borderId="6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8"/>
  <sheetViews>
    <sheetView tabSelected="1" workbookViewId="0"/>
  </sheetViews>
  <sheetFormatPr defaultColWidth="9.109375" defaultRowHeight="13.8" x14ac:dyDescent="0.25"/>
  <cols>
    <col min="1" max="1" width="9.109375" style="1"/>
    <col min="2" max="2" width="11" style="1" bestFit="1" customWidth="1"/>
    <col min="3" max="4" width="9.109375" style="1"/>
    <col min="5" max="5" width="13" style="1" customWidth="1"/>
    <col min="6" max="16384" width="9.109375" style="1"/>
  </cols>
  <sheetData>
    <row r="3" spans="1:5" ht="14.4" thickBot="1" x14ac:dyDescent="0.3"/>
    <row r="4" spans="1:5" x14ac:dyDescent="0.25">
      <c r="A4" s="22">
        <v>44075</v>
      </c>
      <c r="B4" s="23"/>
      <c r="C4" s="23"/>
      <c r="D4" s="23"/>
      <c r="E4" s="24"/>
    </row>
    <row r="5" spans="1:5" ht="27.6" x14ac:dyDescent="0.25">
      <c r="A5" s="7" t="s">
        <v>0</v>
      </c>
      <c r="B5" s="3" t="s">
        <v>1</v>
      </c>
      <c r="C5" s="3" t="s">
        <v>2</v>
      </c>
      <c r="D5" s="3" t="s">
        <v>3</v>
      </c>
      <c r="E5" s="8" t="s">
        <v>4</v>
      </c>
    </row>
    <row r="6" spans="1:5" x14ac:dyDescent="0.25">
      <c r="A6" s="9" t="str">
        <f>CHOOSE(WEEKDAY(B6),"SUN","MON","TUE","WED","THU","FRI","SAT")</f>
        <v>TUE</v>
      </c>
      <c r="B6" s="4">
        <v>44075</v>
      </c>
      <c r="C6" s="2">
        <v>10682</v>
      </c>
      <c r="D6" s="2">
        <v>10424</v>
      </c>
      <c r="E6" s="10">
        <f>SUM(C6:D6)</f>
        <v>21106</v>
      </c>
    </row>
    <row r="7" spans="1:5" x14ac:dyDescent="0.25">
      <c r="A7" s="9" t="str">
        <f t="shared" ref="A7:A35" si="0">CHOOSE(WEEKDAY(B7),"SUN","MON","TUE","WED","THU","FRI","SAT")</f>
        <v>WED</v>
      </c>
      <c r="B7" s="4">
        <v>44076</v>
      </c>
      <c r="C7" s="2">
        <v>10165</v>
      </c>
      <c r="D7" s="2">
        <v>9922</v>
      </c>
      <c r="E7" s="10">
        <f t="shared" ref="E7:E35" si="1">SUM(C7:D7)</f>
        <v>20087</v>
      </c>
    </row>
    <row r="8" spans="1:5" x14ac:dyDescent="0.25">
      <c r="A8" s="9" t="str">
        <f t="shared" si="0"/>
        <v>THU</v>
      </c>
      <c r="B8" s="4">
        <v>44077</v>
      </c>
      <c r="C8" s="2">
        <v>10996</v>
      </c>
      <c r="D8" s="2">
        <v>10796</v>
      </c>
      <c r="E8" s="10">
        <f t="shared" si="1"/>
        <v>21792</v>
      </c>
    </row>
    <row r="9" spans="1:5" x14ac:dyDescent="0.25">
      <c r="A9" s="9" t="str">
        <f t="shared" si="0"/>
        <v>FRI</v>
      </c>
      <c r="B9" s="4">
        <v>44078</v>
      </c>
      <c r="C9" s="2">
        <v>11629</v>
      </c>
      <c r="D9" s="2">
        <v>11561</v>
      </c>
      <c r="E9" s="10">
        <f t="shared" si="1"/>
        <v>23190</v>
      </c>
    </row>
    <row r="10" spans="1:5" x14ac:dyDescent="0.25">
      <c r="A10" s="9" t="str">
        <f t="shared" si="0"/>
        <v>SAT</v>
      </c>
      <c r="B10" s="4">
        <v>44079</v>
      </c>
      <c r="C10" s="2">
        <v>10396</v>
      </c>
      <c r="D10" s="2">
        <v>10098</v>
      </c>
      <c r="E10" s="10">
        <f t="shared" si="1"/>
        <v>20494</v>
      </c>
    </row>
    <row r="11" spans="1:5" x14ac:dyDescent="0.25">
      <c r="A11" s="9" t="str">
        <f t="shared" si="0"/>
        <v>SUN</v>
      </c>
      <c r="B11" s="4">
        <v>44080</v>
      </c>
      <c r="C11" s="2">
        <v>10040</v>
      </c>
      <c r="D11" s="2">
        <v>9312</v>
      </c>
      <c r="E11" s="10">
        <f t="shared" si="1"/>
        <v>19352</v>
      </c>
    </row>
    <row r="12" spans="1:5" x14ac:dyDescent="0.25">
      <c r="A12" s="9" t="str">
        <f t="shared" si="0"/>
        <v>MON</v>
      </c>
      <c r="B12" s="4">
        <v>44081</v>
      </c>
      <c r="C12" s="2">
        <v>8766</v>
      </c>
      <c r="D12" s="2">
        <v>8678</v>
      </c>
      <c r="E12" s="10">
        <f t="shared" si="1"/>
        <v>17444</v>
      </c>
    </row>
    <row r="13" spans="1:5" x14ac:dyDescent="0.25">
      <c r="A13" s="9" t="str">
        <f t="shared" si="0"/>
        <v>TUE</v>
      </c>
      <c r="B13" s="4">
        <v>44082</v>
      </c>
      <c r="C13" s="2">
        <v>11188</v>
      </c>
      <c r="D13" s="2">
        <v>11101</v>
      </c>
      <c r="E13" s="10">
        <f t="shared" si="1"/>
        <v>22289</v>
      </c>
    </row>
    <row r="14" spans="1:5" x14ac:dyDescent="0.25">
      <c r="A14" s="9" t="str">
        <f t="shared" si="0"/>
        <v>WED</v>
      </c>
      <c r="B14" s="4">
        <v>44083</v>
      </c>
      <c r="C14" s="2">
        <v>11296</v>
      </c>
      <c r="D14" s="2">
        <v>11210</v>
      </c>
      <c r="E14" s="10">
        <f t="shared" si="1"/>
        <v>22506</v>
      </c>
    </row>
    <row r="15" spans="1:5" x14ac:dyDescent="0.25">
      <c r="A15" s="9" t="str">
        <f t="shared" si="0"/>
        <v>THU</v>
      </c>
      <c r="B15" s="4">
        <v>44084</v>
      </c>
      <c r="C15" s="2">
        <v>10024</v>
      </c>
      <c r="D15" s="2">
        <v>9674</v>
      </c>
      <c r="E15" s="10">
        <f t="shared" si="1"/>
        <v>19698</v>
      </c>
    </row>
    <row r="16" spans="1:5" x14ac:dyDescent="0.25">
      <c r="A16" s="9" t="str">
        <f t="shared" si="0"/>
        <v>FRI</v>
      </c>
      <c r="B16" s="4">
        <v>44085</v>
      </c>
      <c r="C16" s="2">
        <v>12107</v>
      </c>
      <c r="D16" s="2">
        <v>12258</v>
      </c>
      <c r="E16" s="10">
        <f t="shared" si="1"/>
        <v>24365</v>
      </c>
    </row>
    <row r="17" spans="1:5" x14ac:dyDescent="0.25">
      <c r="A17" s="9" t="str">
        <f t="shared" si="0"/>
        <v>SAT</v>
      </c>
      <c r="B17" s="4">
        <v>44086</v>
      </c>
      <c r="C17" s="2">
        <v>10216</v>
      </c>
      <c r="D17" s="2">
        <v>9813</v>
      </c>
      <c r="E17" s="10">
        <f t="shared" si="1"/>
        <v>20029</v>
      </c>
    </row>
    <row r="18" spans="1:5" x14ac:dyDescent="0.25">
      <c r="A18" s="9" t="str">
        <f t="shared" si="0"/>
        <v>SUN</v>
      </c>
      <c r="B18" s="4">
        <v>44087</v>
      </c>
      <c r="C18" s="2">
        <v>8033</v>
      </c>
      <c r="D18" s="2">
        <v>7404</v>
      </c>
      <c r="E18" s="10">
        <f t="shared" si="1"/>
        <v>15437</v>
      </c>
    </row>
    <row r="19" spans="1:5" x14ac:dyDescent="0.25">
      <c r="A19" s="9" t="str">
        <f t="shared" si="0"/>
        <v>MON</v>
      </c>
      <c r="B19" s="4">
        <v>44088</v>
      </c>
      <c r="C19" s="2">
        <v>10864</v>
      </c>
      <c r="D19" s="2">
        <v>10605</v>
      </c>
      <c r="E19" s="10">
        <f t="shared" si="1"/>
        <v>21469</v>
      </c>
    </row>
    <row r="20" spans="1:5" x14ac:dyDescent="0.25">
      <c r="A20" s="9" t="str">
        <f t="shared" si="0"/>
        <v>TUE</v>
      </c>
      <c r="B20" s="4">
        <v>44089</v>
      </c>
      <c r="C20" s="2">
        <v>11405</v>
      </c>
      <c r="D20" s="2">
        <v>11136</v>
      </c>
      <c r="E20" s="10">
        <f t="shared" si="1"/>
        <v>22541</v>
      </c>
    </row>
    <row r="21" spans="1:5" x14ac:dyDescent="0.25">
      <c r="A21" s="9" t="str">
        <f t="shared" si="0"/>
        <v>WED</v>
      </c>
      <c r="B21" s="4">
        <v>44090</v>
      </c>
      <c r="C21" s="2">
        <v>11063</v>
      </c>
      <c r="D21" s="2">
        <v>10786</v>
      </c>
      <c r="E21" s="10">
        <f t="shared" si="1"/>
        <v>21849</v>
      </c>
    </row>
    <row r="22" spans="1:5" x14ac:dyDescent="0.25">
      <c r="A22" s="9" t="str">
        <f t="shared" si="0"/>
        <v>THU</v>
      </c>
      <c r="B22" s="4">
        <v>44091</v>
      </c>
      <c r="C22" s="2">
        <v>11216</v>
      </c>
      <c r="D22" s="2">
        <v>11044</v>
      </c>
      <c r="E22" s="10">
        <f t="shared" si="1"/>
        <v>22260</v>
      </c>
    </row>
    <row r="23" spans="1:5" x14ac:dyDescent="0.25">
      <c r="A23" s="9" t="str">
        <f t="shared" si="0"/>
        <v>FRI</v>
      </c>
      <c r="B23" s="4">
        <v>44092</v>
      </c>
      <c r="C23" s="2">
        <v>11617</v>
      </c>
      <c r="D23" s="2">
        <v>11543</v>
      </c>
      <c r="E23" s="10">
        <f t="shared" si="1"/>
        <v>23160</v>
      </c>
    </row>
    <row r="24" spans="1:5" x14ac:dyDescent="0.25">
      <c r="A24" s="9" t="str">
        <f t="shared" si="0"/>
        <v>SAT</v>
      </c>
      <c r="B24" s="4">
        <v>44093</v>
      </c>
      <c r="C24" s="2">
        <v>9712</v>
      </c>
      <c r="D24" s="2">
        <v>9460</v>
      </c>
      <c r="E24" s="10">
        <f t="shared" si="1"/>
        <v>19172</v>
      </c>
    </row>
    <row r="25" spans="1:5" x14ac:dyDescent="0.25">
      <c r="A25" s="9" t="str">
        <f t="shared" si="0"/>
        <v>SUN</v>
      </c>
      <c r="B25" s="4">
        <v>44094</v>
      </c>
      <c r="C25" s="2">
        <v>7783</v>
      </c>
      <c r="D25" s="2">
        <v>7405</v>
      </c>
      <c r="E25" s="10">
        <f t="shared" si="1"/>
        <v>15188</v>
      </c>
    </row>
    <row r="26" spans="1:5" x14ac:dyDescent="0.25">
      <c r="A26" s="9" t="str">
        <f t="shared" si="0"/>
        <v>MON</v>
      </c>
      <c r="B26" s="4">
        <v>44095</v>
      </c>
      <c r="C26" s="2">
        <v>11005</v>
      </c>
      <c r="D26" s="2">
        <v>10777</v>
      </c>
      <c r="E26" s="10">
        <f t="shared" si="1"/>
        <v>21782</v>
      </c>
    </row>
    <row r="27" spans="1:5" x14ac:dyDescent="0.25">
      <c r="A27" s="9" t="str">
        <f t="shared" si="0"/>
        <v>TUE</v>
      </c>
      <c r="B27" s="4">
        <v>44096</v>
      </c>
      <c r="C27" s="2">
        <v>11207</v>
      </c>
      <c r="D27" s="2">
        <v>11086</v>
      </c>
      <c r="E27" s="10">
        <f t="shared" si="1"/>
        <v>22293</v>
      </c>
    </row>
    <row r="28" spans="1:5" x14ac:dyDescent="0.25">
      <c r="A28" s="9" t="str">
        <f t="shared" si="0"/>
        <v>WED</v>
      </c>
      <c r="B28" s="4">
        <v>44097</v>
      </c>
      <c r="C28" s="2">
        <v>11471</v>
      </c>
      <c r="D28" s="2">
        <v>11274</v>
      </c>
      <c r="E28" s="10">
        <f t="shared" si="1"/>
        <v>22745</v>
      </c>
    </row>
    <row r="29" spans="1:5" x14ac:dyDescent="0.25">
      <c r="A29" s="9" t="str">
        <f t="shared" si="0"/>
        <v>THU</v>
      </c>
      <c r="B29" s="4">
        <v>44098</v>
      </c>
      <c r="C29" s="2">
        <v>11178</v>
      </c>
      <c r="D29" s="2">
        <v>11281</v>
      </c>
      <c r="E29" s="10">
        <f t="shared" si="1"/>
        <v>22459</v>
      </c>
    </row>
    <row r="30" spans="1:5" x14ac:dyDescent="0.25">
      <c r="A30" s="9" t="str">
        <f t="shared" si="0"/>
        <v>FRI</v>
      </c>
      <c r="B30" s="4">
        <v>44099</v>
      </c>
      <c r="C30" s="2">
        <v>11784</v>
      </c>
      <c r="D30" s="2">
        <v>11870</v>
      </c>
      <c r="E30" s="10">
        <f t="shared" si="1"/>
        <v>23654</v>
      </c>
    </row>
    <row r="31" spans="1:5" x14ac:dyDescent="0.25">
      <c r="A31" s="9" t="str">
        <f t="shared" si="0"/>
        <v>SAT</v>
      </c>
      <c r="B31" s="4">
        <v>44100</v>
      </c>
      <c r="C31" s="2">
        <v>10103</v>
      </c>
      <c r="D31" s="2">
        <v>9690</v>
      </c>
      <c r="E31" s="10">
        <f t="shared" si="1"/>
        <v>19793</v>
      </c>
    </row>
    <row r="32" spans="1:5" x14ac:dyDescent="0.25">
      <c r="A32" s="9" t="str">
        <f t="shared" si="0"/>
        <v>SUN</v>
      </c>
      <c r="B32" s="4">
        <v>44101</v>
      </c>
      <c r="C32" s="2">
        <v>8285</v>
      </c>
      <c r="D32" s="2">
        <v>7852</v>
      </c>
      <c r="E32" s="10">
        <f t="shared" si="1"/>
        <v>16137</v>
      </c>
    </row>
    <row r="33" spans="1:5" x14ac:dyDescent="0.25">
      <c r="A33" s="9" t="str">
        <f t="shared" si="0"/>
        <v>MON</v>
      </c>
      <c r="B33" s="4">
        <v>44102</v>
      </c>
      <c r="C33" s="2">
        <v>11171</v>
      </c>
      <c r="D33" s="2">
        <v>10884</v>
      </c>
      <c r="E33" s="10">
        <f t="shared" si="1"/>
        <v>22055</v>
      </c>
    </row>
    <row r="34" spans="1:5" x14ac:dyDescent="0.25">
      <c r="A34" s="9" t="str">
        <f t="shared" si="0"/>
        <v>TUE</v>
      </c>
      <c r="B34" s="4">
        <v>44103</v>
      </c>
      <c r="C34" s="2">
        <v>10670</v>
      </c>
      <c r="D34" s="2">
        <v>10407</v>
      </c>
      <c r="E34" s="10">
        <f t="shared" si="1"/>
        <v>21077</v>
      </c>
    </row>
    <row r="35" spans="1:5" x14ac:dyDescent="0.25">
      <c r="A35" s="9" t="str">
        <f t="shared" si="0"/>
        <v>WED</v>
      </c>
      <c r="B35" s="4">
        <v>44104</v>
      </c>
      <c r="C35" s="2">
        <v>11031</v>
      </c>
      <c r="D35" s="2">
        <v>10640</v>
      </c>
      <c r="E35" s="10">
        <f t="shared" si="1"/>
        <v>21671</v>
      </c>
    </row>
    <row r="36" spans="1:5" ht="14.4" thickBot="1" x14ac:dyDescent="0.3">
      <c r="A36" s="25" t="s">
        <v>10</v>
      </c>
      <c r="B36" s="26"/>
      <c r="C36" s="18">
        <f>SUM(C6:C35)</f>
        <v>317103</v>
      </c>
      <c r="D36" s="18">
        <f>SUM(D6:D35)</f>
        <v>309991</v>
      </c>
      <c r="E36" s="16">
        <f>SUM(E6:E35)</f>
        <v>627094</v>
      </c>
    </row>
    <row r="37" spans="1:5" ht="14.4" thickBot="1" x14ac:dyDescent="0.3"/>
    <row r="38" spans="1:5" ht="14.4" thickBot="1" x14ac:dyDescent="0.3">
      <c r="A38" s="27" t="s">
        <v>11</v>
      </c>
      <c r="B38" s="28"/>
      <c r="C38" s="28"/>
      <c r="D38" s="28"/>
      <c r="E38" s="20">
        <f>E36</f>
        <v>627094</v>
      </c>
    </row>
  </sheetData>
  <mergeCells count="3">
    <mergeCell ref="A4:E4"/>
    <mergeCell ref="A36:B36"/>
    <mergeCell ref="A38:D38"/>
  </mergeCells>
  <pageMargins left="0.7" right="0.7" top="0.75" bottom="0.75" header="0.3" footer="0.3"/>
  <pageSetup orientation="portrait" r:id="rId1"/>
  <ignoredErrors>
    <ignoredError sqref="E6:E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workbookViewId="0"/>
  </sheetViews>
  <sheetFormatPr defaultColWidth="9.109375" defaultRowHeight="13.8" x14ac:dyDescent="0.25"/>
  <cols>
    <col min="1" max="1" width="9.109375" style="1"/>
    <col min="2" max="2" width="11" style="1" bestFit="1" customWidth="1"/>
    <col min="3" max="3" width="12.33203125" style="1" customWidth="1"/>
    <col min="4" max="4" width="14.33203125" style="1" customWidth="1"/>
    <col min="5" max="5" width="13.33203125" style="1" customWidth="1"/>
    <col min="6" max="6" width="9.109375" style="1"/>
    <col min="7" max="7" width="11" style="1" bestFit="1" customWidth="1"/>
    <col min="8" max="8" width="9.109375" style="1"/>
    <col min="9" max="9" width="11" style="1" bestFit="1" customWidth="1"/>
    <col min="10" max="16384" width="9.109375" style="1"/>
  </cols>
  <sheetData>
    <row r="1" spans="1:7" ht="14.4" thickBot="1" x14ac:dyDescent="0.3"/>
    <row r="2" spans="1:7" x14ac:dyDescent="0.25">
      <c r="A2" s="22">
        <v>44075</v>
      </c>
      <c r="B2" s="23"/>
      <c r="C2" s="23"/>
      <c r="D2" s="23"/>
      <c r="E2" s="24"/>
    </row>
    <row r="3" spans="1:7" ht="27.6" x14ac:dyDescent="0.25">
      <c r="A3" s="7" t="s">
        <v>0</v>
      </c>
      <c r="B3" s="3" t="s">
        <v>1</v>
      </c>
      <c r="C3" s="3" t="s">
        <v>2</v>
      </c>
      <c r="D3" s="3" t="s">
        <v>3</v>
      </c>
      <c r="E3" s="8" t="s">
        <v>4</v>
      </c>
    </row>
    <row r="4" spans="1:7" x14ac:dyDescent="0.25">
      <c r="A4" s="9" t="str">
        <f>CHOOSE(WEEKDAY(B4),"SUN","MON","TUE","WED","THU","FRI","SAT")</f>
        <v>TUE</v>
      </c>
      <c r="B4" s="4">
        <v>44075</v>
      </c>
      <c r="C4" s="2">
        <v>10682</v>
      </c>
      <c r="D4" s="2">
        <v>10424</v>
      </c>
      <c r="E4" s="10">
        <f>SUM(C4:D4)</f>
        <v>21106</v>
      </c>
      <c r="G4" s="19"/>
    </row>
    <row r="5" spans="1:7" x14ac:dyDescent="0.25">
      <c r="A5" s="9" t="str">
        <f t="shared" ref="A5:A25" si="0">CHOOSE(WEEKDAY(B5),"SUN","MON","TUE","WED","THU","FRI","SAT")</f>
        <v>WED</v>
      </c>
      <c r="B5" s="4">
        <v>44076</v>
      </c>
      <c r="C5" s="2">
        <v>10165</v>
      </c>
      <c r="D5" s="2">
        <v>9922</v>
      </c>
      <c r="E5" s="10">
        <f t="shared" ref="E5:E25" si="1">SUM(C5:D5)</f>
        <v>20087</v>
      </c>
      <c r="G5" s="19"/>
    </row>
    <row r="6" spans="1:7" x14ac:dyDescent="0.25">
      <c r="A6" s="9" t="str">
        <f t="shared" si="0"/>
        <v>THU</v>
      </c>
      <c r="B6" s="4">
        <v>44077</v>
      </c>
      <c r="C6" s="2">
        <v>10996</v>
      </c>
      <c r="D6" s="2">
        <v>10796</v>
      </c>
      <c r="E6" s="10">
        <f t="shared" si="1"/>
        <v>21792</v>
      </c>
      <c r="G6" s="19"/>
    </row>
    <row r="7" spans="1:7" x14ac:dyDescent="0.25">
      <c r="A7" s="9" t="str">
        <f t="shared" si="0"/>
        <v>FRI</v>
      </c>
      <c r="B7" s="4">
        <v>44078</v>
      </c>
      <c r="C7" s="2">
        <v>11629</v>
      </c>
      <c r="D7" s="2">
        <v>11561</v>
      </c>
      <c r="E7" s="10">
        <f t="shared" si="1"/>
        <v>23190</v>
      </c>
      <c r="G7" s="19"/>
    </row>
    <row r="8" spans="1:7" x14ac:dyDescent="0.25">
      <c r="A8" s="9" t="str">
        <f t="shared" si="0"/>
        <v>MON</v>
      </c>
      <c r="B8" s="4">
        <v>44081</v>
      </c>
      <c r="C8" s="2">
        <v>8766</v>
      </c>
      <c r="D8" s="2">
        <v>8678</v>
      </c>
      <c r="E8" s="10">
        <f t="shared" si="1"/>
        <v>17444</v>
      </c>
      <c r="G8" s="19"/>
    </row>
    <row r="9" spans="1:7" x14ac:dyDescent="0.25">
      <c r="A9" s="9" t="str">
        <f t="shared" si="0"/>
        <v>TUE</v>
      </c>
      <c r="B9" s="4">
        <v>44082</v>
      </c>
      <c r="C9" s="2">
        <v>11188</v>
      </c>
      <c r="D9" s="2">
        <v>11101</v>
      </c>
      <c r="E9" s="10">
        <f t="shared" si="1"/>
        <v>22289</v>
      </c>
      <c r="G9" s="19"/>
    </row>
    <row r="10" spans="1:7" x14ac:dyDescent="0.25">
      <c r="A10" s="9" t="str">
        <f t="shared" si="0"/>
        <v>WED</v>
      </c>
      <c r="B10" s="4">
        <v>44083</v>
      </c>
      <c r="C10" s="2">
        <v>11296</v>
      </c>
      <c r="D10" s="2">
        <v>11210</v>
      </c>
      <c r="E10" s="10">
        <f t="shared" si="1"/>
        <v>22506</v>
      </c>
      <c r="G10" s="19"/>
    </row>
    <row r="11" spans="1:7" x14ac:dyDescent="0.25">
      <c r="A11" s="9" t="str">
        <f t="shared" si="0"/>
        <v>THU</v>
      </c>
      <c r="B11" s="4">
        <v>44084</v>
      </c>
      <c r="C11" s="2">
        <v>10024</v>
      </c>
      <c r="D11" s="2">
        <v>9674</v>
      </c>
      <c r="E11" s="10">
        <f t="shared" si="1"/>
        <v>19698</v>
      </c>
      <c r="G11" s="19"/>
    </row>
    <row r="12" spans="1:7" x14ac:dyDescent="0.25">
      <c r="A12" s="9" t="str">
        <f t="shared" si="0"/>
        <v>FRI</v>
      </c>
      <c r="B12" s="4">
        <v>44085</v>
      </c>
      <c r="C12" s="2">
        <v>12107</v>
      </c>
      <c r="D12" s="2">
        <v>12258</v>
      </c>
      <c r="E12" s="10">
        <f t="shared" si="1"/>
        <v>24365</v>
      </c>
      <c r="G12" s="19"/>
    </row>
    <row r="13" spans="1:7" x14ac:dyDescent="0.25">
      <c r="A13" s="9" t="str">
        <f t="shared" si="0"/>
        <v>MON</v>
      </c>
      <c r="B13" s="4">
        <v>44088</v>
      </c>
      <c r="C13" s="2">
        <v>10864</v>
      </c>
      <c r="D13" s="2">
        <v>10605</v>
      </c>
      <c r="E13" s="10">
        <f t="shared" si="1"/>
        <v>21469</v>
      </c>
      <c r="G13" s="19"/>
    </row>
    <row r="14" spans="1:7" x14ac:dyDescent="0.25">
      <c r="A14" s="9" t="str">
        <f t="shared" si="0"/>
        <v>TUE</v>
      </c>
      <c r="B14" s="4">
        <v>44089</v>
      </c>
      <c r="C14" s="2">
        <v>11405</v>
      </c>
      <c r="D14" s="2">
        <v>11136</v>
      </c>
      <c r="E14" s="10">
        <f t="shared" si="1"/>
        <v>22541</v>
      </c>
      <c r="G14" s="19"/>
    </row>
    <row r="15" spans="1:7" x14ac:dyDescent="0.25">
      <c r="A15" s="9" t="str">
        <f t="shared" si="0"/>
        <v>WED</v>
      </c>
      <c r="B15" s="4">
        <v>44090</v>
      </c>
      <c r="C15" s="2">
        <v>11063</v>
      </c>
      <c r="D15" s="2">
        <v>10786</v>
      </c>
      <c r="E15" s="10">
        <f t="shared" si="1"/>
        <v>21849</v>
      </c>
      <c r="G15" s="19"/>
    </row>
    <row r="16" spans="1:7" x14ac:dyDescent="0.25">
      <c r="A16" s="9" t="str">
        <f t="shared" si="0"/>
        <v>THU</v>
      </c>
      <c r="B16" s="4">
        <v>44091</v>
      </c>
      <c r="C16" s="2">
        <v>11216</v>
      </c>
      <c r="D16" s="2">
        <v>11044</v>
      </c>
      <c r="E16" s="10">
        <f t="shared" si="1"/>
        <v>22260</v>
      </c>
      <c r="G16" s="19"/>
    </row>
    <row r="17" spans="1:7" x14ac:dyDescent="0.25">
      <c r="A17" s="9" t="str">
        <f t="shared" si="0"/>
        <v>FRI</v>
      </c>
      <c r="B17" s="4">
        <v>44092</v>
      </c>
      <c r="C17" s="2">
        <v>11617</v>
      </c>
      <c r="D17" s="2">
        <v>11543</v>
      </c>
      <c r="E17" s="10">
        <f t="shared" si="1"/>
        <v>23160</v>
      </c>
      <c r="G17" s="19"/>
    </row>
    <row r="18" spans="1:7" x14ac:dyDescent="0.25">
      <c r="A18" s="9" t="str">
        <f t="shared" si="0"/>
        <v>MON</v>
      </c>
      <c r="B18" s="4">
        <v>44095</v>
      </c>
      <c r="C18" s="2">
        <v>11005</v>
      </c>
      <c r="D18" s="2">
        <v>10777</v>
      </c>
      <c r="E18" s="10">
        <f t="shared" si="1"/>
        <v>21782</v>
      </c>
      <c r="G18" s="19"/>
    </row>
    <row r="19" spans="1:7" x14ac:dyDescent="0.25">
      <c r="A19" s="9" t="str">
        <f t="shared" si="0"/>
        <v>TUE</v>
      </c>
      <c r="B19" s="4">
        <v>44096</v>
      </c>
      <c r="C19" s="2">
        <v>11207</v>
      </c>
      <c r="D19" s="2">
        <v>11086</v>
      </c>
      <c r="E19" s="10">
        <f t="shared" si="1"/>
        <v>22293</v>
      </c>
      <c r="G19" s="19"/>
    </row>
    <row r="20" spans="1:7" x14ac:dyDescent="0.25">
      <c r="A20" s="9" t="str">
        <f t="shared" si="0"/>
        <v>WED</v>
      </c>
      <c r="B20" s="4">
        <v>44097</v>
      </c>
      <c r="C20" s="2">
        <v>11471</v>
      </c>
      <c r="D20" s="2">
        <v>11274</v>
      </c>
      <c r="E20" s="10">
        <f t="shared" si="1"/>
        <v>22745</v>
      </c>
      <c r="G20" s="19"/>
    </row>
    <row r="21" spans="1:7" x14ac:dyDescent="0.25">
      <c r="A21" s="9" t="str">
        <f t="shared" si="0"/>
        <v>THU</v>
      </c>
      <c r="B21" s="4">
        <v>44098</v>
      </c>
      <c r="C21" s="2">
        <v>11178</v>
      </c>
      <c r="D21" s="2">
        <v>11281</v>
      </c>
      <c r="E21" s="10">
        <f t="shared" si="1"/>
        <v>22459</v>
      </c>
      <c r="G21" s="19"/>
    </row>
    <row r="22" spans="1:7" x14ac:dyDescent="0.25">
      <c r="A22" s="9" t="str">
        <f t="shared" si="0"/>
        <v>FRI</v>
      </c>
      <c r="B22" s="4">
        <v>44099</v>
      </c>
      <c r="C22" s="2">
        <v>11784</v>
      </c>
      <c r="D22" s="2">
        <v>11870</v>
      </c>
      <c r="E22" s="10">
        <f t="shared" si="1"/>
        <v>23654</v>
      </c>
      <c r="G22" s="19"/>
    </row>
    <row r="23" spans="1:7" x14ac:dyDescent="0.25">
      <c r="A23" s="9" t="str">
        <f t="shared" si="0"/>
        <v>MON</v>
      </c>
      <c r="B23" s="4">
        <v>44102</v>
      </c>
      <c r="C23" s="2">
        <v>11171</v>
      </c>
      <c r="D23" s="2">
        <v>10884</v>
      </c>
      <c r="E23" s="10">
        <f t="shared" si="1"/>
        <v>22055</v>
      </c>
      <c r="G23" s="19"/>
    </row>
    <row r="24" spans="1:7" x14ac:dyDescent="0.25">
      <c r="A24" s="9" t="str">
        <f t="shared" si="0"/>
        <v>TUE</v>
      </c>
      <c r="B24" s="4">
        <v>44103</v>
      </c>
      <c r="C24" s="2">
        <v>10670</v>
      </c>
      <c r="D24" s="2">
        <v>10407</v>
      </c>
      <c r="E24" s="10">
        <f t="shared" si="1"/>
        <v>21077</v>
      </c>
      <c r="G24" s="19"/>
    </row>
    <row r="25" spans="1:7" ht="14.4" thickBot="1" x14ac:dyDescent="0.3">
      <c r="A25" s="11" t="str">
        <f t="shared" si="0"/>
        <v>WED</v>
      </c>
      <c r="B25" s="5">
        <v>44104</v>
      </c>
      <c r="C25" s="6">
        <v>11031</v>
      </c>
      <c r="D25" s="6">
        <v>10640</v>
      </c>
      <c r="E25" s="12">
        <f t="shared" si="1"/>
        <v>21671</v>
      </c>
      <c r="G25" s="19"/>
    </row>
    <row r="26" spans="1:7" ht="14.4" thickBot="1" x14ac:dyDescent="0.3">
      <c r="A26" s="31" t="s">
        <v>5</v>
      </c>
      <c r="B26" s="32"/>
      <c r="C26" s="13">
        <f>SUM(C4:C25)</f>
        <v>242535</v>
      </c>
      <c r="D26" s="13">
        <f>SUM(D4:D25)</f>
        <v>238957</v>
      </c>
      <c r="E26" s="14">
        <f>SUM(E4:E25)</f>
        <v>481492</v>
      </c>
      <c r="G26" s="19"/>
    </row>
    <row r="27" spans="1:7" ht="14.4" thickBot="1" x14ac:dyDescent="0.3">
      <c r="G27" s="19"/>
    </row>
    <row r="28" spans="1:7" x14ac:dyDescent="0.25">
      <c r="A28" s="29" t="s">
        <v>6</v>
      </c>
      <c r="B28" s="30"/>
      <c r="C28" s="30"/>
      <c r="D28" s="30"/>
      <c r="E28" s="15">
        <f>E26</f>
        <v>481492</v>
      </c>
      <c r="G28" s="19"/>
    </row>
    <row r="29" spans="1:7" ht="14.4" thickBot="1" x14ac:dyDescent="0.3">
      <c r="A29" s="25" t="s">
        <v>7</v>
      </c>
      <c r="B29" s="26"/>
      <c r="C29" s="26"/>
      <c r="D29" s="26"/>
      <c r="E29" s="16">
        <f>AVERAGE(E4:E25)</f>
        <v>21886</v>
      </c>
      <c r="G29" s="19"/>
    </row>
    <row r="30" spans="1:7" x14ac:dyDescent="0.25">
      <c r="A30" s="21"/>
      <c r="B30" s="21"/>
      <c r="C30" s="21"/>
      <c r="D30" s="21"/>
      <c r="E30" s="21"/>
      <c r="G30" s="19"/>
    </row>
    <row r="31" spans="1:7" x14ac:dyDescent="0.25">
      <c r="A31" s="21"/>
      <c r="B31" s="21"/>
      <c r="C31" s="21"/>
      <c r="D31" s="21"/>
      <c r="E31" s="21"/>
      <c r="G31" s="19"/>
    </row>
    <row r="32" spans="1:7" x14ac:dyDescent="0.25">
      <c r="G32" s="19"/>
    </row>
    <row r="33" spans="1:7" ht="14.4" thickBot="1" x14ac:dyDescent="0.3">
      <c r="G33" s="19"/>
    </row>
    <row r="34" spans="1:7" x14ac:dyDescent="0.25">
      <c r="A34" s="22">
        <v>44075</v>
      </c>
      <c r="B34" s="23"/>
      <c r="C34" s="23"/>
      <c r="D34" s="23"/>
      <c r="E34" s="24"/>
      <c r="G34" s="19"/>
    </row>
    <row r="35" spans="1:7" ht="27.6" x14ac:dyDescent="0.25">
      <c r="A35" s="7" t="s">
        <v>0</v>
      </c>
      <c r="B35" s="3" t="s">
        <v>1</v>
      </c>
      <c r="C35" s="3" t="s">
        <v>2</v>
      </c>
      <c r="D35" s="3" t="s">
        <v>3</v>
      </c>
      <c r="E35" s="8" t="s">
        <v>4</v>
      </c>
      <c r="G35" s="19"/>
    </row>
    <row r="36" spans="1:7" x14ac:dyDescent="0.25">
      <c r="A36" s="9" t="str">
        <f t="shared" ref="A36:A43" si="2">CHOOSE(WEEKDAY(B36),"SUN","MON","TUE","WED","THU","FRI","SAT")</f>
        <v>SAT</v>
      </c>
      <c r="B36" s="4">
        <v>44079</v>
      </c>
      <c r="C36" s="2">
        <v>10396</v>
      </c>
      <c r="D36" s="2">
        <v>10098</v>
      </c>
      <c r="E36" s="10">
        <f>SUM(C36:D36)</f>
        <v>20494</v>
      </c>
    </row>
    <row r="37" spans="1:7" x14ac:dyDescent="0.25">
      <c r="A37" s="9" t="str">
        <f t="shared" si="2"/>
        <v>SUN</v>
      </c>
      <c r="B37" s="4">
        <v>44080</v>
      </c>
      <c r="C37" s="2">
        <v>10040</v>
      </c>
      <c r="D37" s="2">
        <v>9312</v>
      </c>
      <c r="E37" s="10">
        <f t="shared" ref="E37:E43" si="3">SUM(C37:D37)</f>
        <v>19352</v>
      </c>
    </row>
    <row r="38" spans="1:7" x14ac:dyDescent="0.25">
      <c r="A38" s="9" t="str">
        <f t="shared" si="2"/>
        <v>SAT</v>
      </c>
      <c r="B38" s="4">
        <v>44086</v>
      </c>
      <c r="C38" s="2">
        <v>10216</v>
      </c>
      <c r="D38" s="2">
        <v>9813</v>
      </c>
      <c r="E38" s="10">
        <f t="shared" si="3"/>
        <v>20029</v>
      </c>
    </row>
    <row r="39" spans="1:7" x14ac:dyDescent="0.25">
      <c r="A39" s="9" t="str">
        <f t="shared" si="2"/>
        <v>SUN</v>
      </c>
      <c r="B39" s="4">
        <v>44087</v>
      </c>
      <c r="C39" s="2">
        <v>8033</v>
      </c>
      <c r="D39" s="2">
        <v>7404</v>
      </c>
      <c r="E39" s="10">
        <f t="shared" si="3"/>
        <v>15437</v>
      </c>
    </row>
    <row r="40" spans="1:7" x14ac:dyDescent="0.25">
      <c r="A40" s="9" t="str">
        <f t="shared" si="2"/>
        <v>SAT</v>
      </c>
      <c r="B40" s="4">
        <v>44093</v>
      </c>
      <c r="C40" s="2">
        <v>9712</v>
      </c>
      <c r="D40" s="2">
        <v>9460</v>
      </c>
      <c r="E40" s="10">
        <f t="shared" si="3"/>
        <v>19172</v>
      </c>
    </row>
    <row r="41" spans="1:7" x14ac:dyDescent="0.25">
      <c r="A41" s="9" t="str">
        <f t="shared" si="2"/>
        <v>SUN</v>
      </c>
      <c r="B41" s="4">
        <v>44094</v>
      </c>
      <c r="C41" s="2">
        <v>7783</v>
      </c>
      <c r="D41" s="2">
        <v>7405</v>
      </c>
      <c r="E41" s="10">
        <f t="shared" si="3"/>
        <v>15188</v>
      </c>
    </row>
    <row r="42" spans="1:7" x14ac:dyDescent="0.25">
      <c r="A42" s="9" t="str">
        <f t="shared" si="2"/>
        <v>SAT</v>
      </c>
      <c r="B42" s="4">
        <v>44100</v>
      </c>
      <c r="C42" s="2">
        <v>10103</v>
      </c>
      <c r="D42" s="2">
        <v>9690</v>
      </c>
      <c r="E42" s="10">
        <f t="shared" si="3"/>
        <v>19793</v>
      </c>
    </row>
    <row r="43" spans="1:7" ht="14.4" thickBot="1" x14ac:dyDescent="0.3">
      <c r="A43" s="11" t="str">
        <f t="shared" si="2"/>
        <v>SUN</v>
      </c>
      <c r="B43" s="5">
        <v>44101</v>
      </c>
      <c r="C43" s="6">
        <v>8285</v>
      </c>
      <c r="D43" s="6">
        <v>7852</v>
      </c>
      <c r="E43" s="12">
        <f t="shared" si="3"/>
        <v>16137</v>
      </c>
    </row>
    <row r="44" spans="1:7" ht="14.4" thickBot="1" x14ac:dyDescent="0.3">
      <c r="A44" s="31" t="s">
        <v>5</v>
      </c>
      <c r="B44" s="32"/>
      <c r="C44" s="13">
        <f>SUM(C36:C43)</f>
        <v>74568</v>
      </c>
      <c r="D44" s="13">
        <f>SUM(D36:D43)</f>
        <v>71034</v>
      </c>
      <c r="E44" s="14">
        <f>SUM(E36:E43)</f>
        <v>145602</v>
      </c>
    </row>
    <row r="45" spans="1:7" ht="14.4" thickBot="1" x14ac:dyDescent="0.3"/>
    <row r="46" spans="1:7" x14ac:dyDescent="0.25">
      <c r="A46" s="29" t="s">
        <v>8</v>
      </c>
      <c r="B46" s="30"/>
      <c r="C46" s="30"/>
      <c r="D46" s="30"/>
      <c r="E46" s="15">
        <f>AVERAGE(E36,E38,E40,E42)</f>
        <v>19872</v>
      </c>
    </row>
    <row r="47" spans="1:7" ht="14.4" thickBot="1" x14ac:dyDescent="0.3">
      <c r="A47" s="25" t="s">
        <v>9</v>
      </c>
      <c r="B47" s="26"/>
      <c r="C47" s="26"/>
      <c r="D47" s="26"/>
      <c r="E47" s="17">
        <f>AVERAGE(E37,E39,E41,E43)</f>
        <v>16528.5</v>
      </c>
    </row>
  </sheetData>
  <mergeCells count="8">
    <mergeCell ref="A46:D46"/>
    <mergeCell ref="A47:D47"/>
    <mergeCell ref="A2:E2"/>
    <mergeCell ref="A26:B26"/>
    <mergeCell ref="A28:D28"/>
    <mergeCell ref="A29:D29"/>
    <mergeCell ref="A34:E34"/>
    <mergeCell ref="A44:B44"/>
  </mergeCells>
  <pageMargins left="0.7" right="0.7" top="0.75" bottom="0.75" header="0.3" footer="0.3"/>
  <ignoredErrors>
    <ignoredError sqref="E4:E25 E36:E4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29A549-A80E-4432-A5AA-4D5B74DD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770DC7-B7EC-4FA0-8EC6-E72B0DBD15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D13E0E-9777-497D-91F1-4EEA3148877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2020-10-02T16:04:02Z</dcterms:created>
  <dcterms:modified xsi:type="dcterms:W3CDTF">2026-04-07T23:54:00Z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