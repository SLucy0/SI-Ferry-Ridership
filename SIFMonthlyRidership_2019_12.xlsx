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Edited SIFMonthlyRidership_2017_to_2025/"/>
    </mc:Choice>
  </mc:AlternateContent>
  <xr:revisionPtr revIDLastSave="0" documentId="8_{993129D0-D193-4FF0-9FAA-25D0C8A530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TALS" sheetId="1" r:id="rId1"/>
    <sheet name="Weekday-Week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D38" i="1"/>
  <c r="C38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C46" i="2"/>
  <c r="E37" i="2"/>
  <c r="D46" i="2"/>
  <c r="E38" i="2"/>
  <c r="E39" i="2"/>
  <c r="E40" i="2"/>
  <c r="E41" i="2"/>
  <c r="E42" i="2"/>
  <c r="E43" i="2"/>
  <c r="E44" i="2"/>
  <c r="E45" i="2"/>
  <c r="A37" i="2"/>
  <c r="B38" i="2"/>
  <c r="B39" i="2" s="1"/>
  <c r="E38" i="1" l="1"/>
  <c r="E46" i="2"/>
  <c r="E48" i="2" s="1"/>
  <c r="A38" i="2"/>
  <c r="E51" i="2"/>
  <c r="E50" i="2"/>
  <c r="B40" i="2"/>
  <c r="A39" i="2"/>
  <c r="B41" i="2" l="1"/>
  <c r="A40" i="2"/>
  <c r="B42" i="2" l="1"/>
  <c r="A41" i="2"/>
  <c r="B43" i="2" l="1"/>
  <c r="A42" i="2"/>
  <c r="B44" i="2" l="1"/>
  <c r="A43" i="2"/>
  <c r="B45" i="2" l="1"/>
  <c r="A45" i="2" s="1"/>
  <c r="A44" i="2"/>
  <c r="E7" i="2" l="1"/>
  <c r="E6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5" i="2"/>
  <c r="C27" i="2"/>
  <c r="D27" i="2"/>
  <c r="A6" i="2"/>
  <c r="A7" i="2"/>
  <c r="A8" i="2"/>
  <c r="A9" i="2"/>
  <c r="A5" i="2"/>
  <c r="B10" i="2"/>
  <c r="B11" i="2" s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7" i="1"/>
  <c r="E27" i="2" l="1"/>
  <c r="E29" i="2" s="1"/>
  <c r="E30" i="2"/>
  <c r="A11" i="2"/>
  <c r="B12" i="2"/>
  <c r="A10" i="2"/>
  <c r="B13" i="2" l="1"/>
  <c r="A12" i="2"/>
  <c r="A13" i="2" l="1"/>
  <c r="B14" i="2"/>
  <c r="B15" i="2" l="1"/>
  <c r="A14" i="2"/>
  <c r="A15" i="2" l="1"/>
  <c r="B16" i="2"/>
  <c r="B17" i="2" l="1"/>
  <c r="A16" i="2"/>
  <c r="B18" i="2" l="1"/>
  <c r="A17" i="2"/>
  <c r="A18" i="2" l="1"/>
  <c r="B19" i="2"/>
  <c r="A19" i="2" l="1"/>
  <c r="B20" i="2"/>
  <c r="A20" i="2" l="1"/>
  <c r="B21" i="2"/>
  <c r="B22" i="2" l="1"/>
  <c r="A21" i="2"/>
  <c r="B23" i="2" l="1"/>
  <c r="A22" i="2"/>
  <c r="B24" i="2" l="1"/>
  <c r="A23" i="2"/>
  <c r="A24" i="2" l="1"/>
  <c r="B25" i="2"/>
  <c r="A25" i="2" l="1"/>
  <c r="B26" i="2"/>
  <c r="A26" i="2" s="1"/>
  <c r="E40" i="1"/>
</calcChain>
</file>

<file path=xl/sharedStrings.xml><?xml version="1.0" encoding="utf-8"?>
<sst xmlns="http://schemas.openxmlformats.org/spreadsheetml/2006/main" count="32" uniqueCount="21">
  <si>
    <t>December 2019 Staten Island Ferry Ridership</t>
  </si>
  <si>
    <t>Day</t>
  </si>
  <si>
    <t>Date</t>
  </si>
  <si>
    <t>WHT</t>
  </si>
  <si>
    <t>STG</t>
  </si>
  <si>
    <t>Combined Total</t>
  </si>
  <si>
    <t>Difference</t>
  </si>
  <si>
    <t>December 2019 : Countwise</t>
  </si>
  <si>
    <t>TOTAL:</t>
  </si>
  <si>
    <t>December 2019 - Staten Island Ferry Ridership Totals</t>
  </si>
  <si>
    <t>December 2019: WEEKDAY TOTALS - COUNTWISE</t>
  </si>
  <si>
    <t>Total Weekday Pax Count December 2019:</t>
  </si>
  <si>
    <t>Average Passengers/Weekday:</t>
  </si>
  <si>
    <t>Totals:</t>
  </si>
  <si>
    <t>December 2019: WEEKEND TOTALS - COUNTWISE</t>
  </si>
  <si>
    <t>TOTALS:</t>
  </si>
  <si>
    <t>Total Weekend Pax Count December 2019:</t>
  </si>
  <si>
    <t>Average Saturday Passengers:</t>
  </si>
  <si>
    <t>Average Sunday Passengers:</t>
  </si>
  <si>
    <t>COUNTWISE TOTAL:</t>
  </si>
  <si>
    <t>*Three year averages were used to calculate this months ridership due to technical difficulties with the Countwise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</si>
</sst>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993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1" fillId="0" borderId="0" xfId="0" applyFont="1"/>
    <xf numFmtId="14" fontId="4" fillId="0" borderId="1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4" fontId="7" fillId="0" borderId="27" xfId="0" applyNumberFormat="1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4" fontId="7" fillId="0" borderId="11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8" fillId="0" borderId="0" xfId="0" applyFont="1"/>
    <xf numFmtId="0" fontId="6" fillId="7" borderId="15" xfId="0" applyFont="1" applyFill="1" applyBorder="1" applyAlignment="1">
      <alignment horizontal="right"/>
    </xf>
    <xf numFmtId="3" fontId="6" fillId="7" borderId="16" xfId="1" applyNumberFormat="1" applyFont="1" applyFill="1" applyBorder="1" applyAlignment="1">
      <alignment horizontal="center"/>
    </xf>
    <xf numFmtId="3" fontId="6" fillId="7" borderId="17" xfId="1" applyNumberFormat="1" applyFont="1" applyFill="1" applyBorder="1" applyAlignment="1">
      <alignment horizontal="center"/>
    </xf>
    <xf numFmtId="0" fontId="6" fillId="0" borderId="10" xfId="0" applyFont="1" applyBorder="1"/>
    <xf numFmtId="37" fontId="6" fillId="7" borderId="10" xfId="0" applyNumberFormat="1" applyFont="1" applyFill="1" applyBorder="1" applyAlignment="1">
      <alignment horizontal="center"/>
    </xf>
    <xf numFmtId="0" fontId="6" fillId="0" borderId="0" xfId="0" applyFont="1"/>
    <xf numFmtId="0" fontId="7" fillId="0" borderId="24" xfId="0" applyFont="1" applyBorder="1" applyAlignment="1">
      <alignment horizontal="center"/>
    </xf>
    <xf numFmtId="14" fontId="7" fillId="0" borderId="20" xfId="0" applyNumberFormat="1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14" fontId="7" fillId="0" borderId="21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14" fontId="6" fillId="6" borderId="15" xfId="0" applyNumberFormat="1" applyFont="1" applyFill="1" applyBorder="1" applyAlignment="1">
      <alignment horizontal="center"/>
    </xf>
    <xf numFmtId="37" fontId="6" fillId="6" borderId="16" xfId="1" applyNumberFormat="1" applyFont="1" applyFill="1" applyBorder="1" applyAlignment="1">
      <alignment horizontal="center"/>
    </xf>
    <xf numFmtId="37" fontId="6" fillId="6" borderId="17" xfId="1" applyNumberFormat="1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14" fontId="8" fillId="0" borderId="0" xfId="0" applyNumberFormat="1" applyFont="1"/>
    <xf numFmtId="37" fontId="6" fillId="3" borderId="10" xfId="1" applyNumberFormat="1" applyFont="1" applyFill="1" applyBorder="1" applyAlignment="1">
      <alignment horizontal="right"/>
    </xf>
    <xf numFmtId="14" fontId="7" fillId="5" borderId="0" xfId="0" applyNumberFormat="1" applyFont="1" applyFill="1" applyAlignment="1">
      <alignment horizontal="right"/>
    </xf>
    <xf numFmtId="1" fontId="6" fillId="5" borderId="0" xfId="0" applyNumberFormat="1" applyFont="1" applyFill="1" applyAlignment="1">
      <alignment horizontal="center"/>
    </xf>
    <xf numFmtId="0" fontId="7" fillId="0" borderId="0" xfId="0" applyFont="1"/>
    <xf numFmtId="0" fontId="6" fillId="6" borderId="15" xfId="0" applyFont="1" applyFill="1" applyBorder="1" applyAlignment="1">
      <alignment horizontal="center"/>
    </xf>
    <xf numFmtId="3" fontId="6" fillId="6" borderId="16" xfId="1" applyNumberFormat="1" applyFont="1" applyFill="1" applyBorder="1" applyAlignment="1">
      <alignment horizontal="center"/>
    </xf>
    <xf numFmtId="3" fontId="6" fillId="6" borderId="17" xfId="1" applyNumberFormat="1" applyFont="1" applyFill="1" applyBorder="1" applyAlignment="1">
      <alignment horizontal="center"/>
    </xf>
    <xf numFmtId="37" fontId="6" fillId="6" borderId="10" xfId="1" applyNumberFormat="1" applyFont="1" applyFill="1" applyBorder="1"/>
    <xf numFmtId="37" fontId="6" fillId="0" borderId="0" xfId="1" applyNumberFormat="1" applyFont="1"/>
    <xf numFmtId="37" fontId="6" fillId="6" borderId="10" xfId="1" applyNumberFormat="1" applyFont="1" applyFill="1" applyBorder="1" applyAlignment="1"/>
    <xf numFmtId="37" fontId="6" fillId="6" borderId="26" xfId="1" applyNumberFormat="1" applyFont="1" applyFill="1" applyBorder="1" applyAlignment="1"/>
    <xf numFmtId="0" fontId="6" fillId="7" borderId="8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right"/>
    </xf>
    <xf numFmtId="0" fontId="6" fillId="6" borderId="9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right"/>
    </xf>
    <xf numFmtId="14" fontId="6" fillId="3" borderId="9" xfId="0" applyNumberFormat="1" applyFont="1" applyFill="1" applyBorder="1" applyAlignment="1">
      <alignment horizontal="right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4" fontId="6" fillId="3" borderId="0" xfId="0" applyNumberFormat="1" applyFont="1" applyFill="1" applyBorder="1" applyAlignment="1">
      <alignment horizontal="right"/>
    </xf>
    <xf numFmtId="37" fontId="6" fillId="3" borderId="0" xfId="1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A5" sqref="A5:A6"/>
    </sheetView>
  </sheetViews>
  <sheetFormatPr defaultRowHeight="14.4" x14ac:dyDescent="0.3"/>
  <cols>
    <col min="1" max="1" width="9.44140625" customWidth="1"/>
    <col min="2" max="2" width="15.109375" customWidth="1"/>
    <col min="3" max="3" width="14.88671875" bestFit="1" customWidth="1"/>
    <col min="4" max="4" width="15.44140625" customWidth="1"/>
    <col min="5" max="5" width="16.5546875" customWidth="1"/>
    <col min="6" max="6" width="12" hidden="1" customWidth="1"/>
  </cols>
  <sheetData>
    <row r="1" spans="1:6" x14ac:dyDescent="0.3">
      <c r="B1" s="51" t="s">
        <v>0</v>
      </c>
      <c r="C1" s="51"/>
      <c r="D1" s="51"/>
      <c r="E1" s="51"/>
      <c r="F1" s="51"/>
    </row>
    <row r="3" spans="1:6" ht="15" thickBot="1" x14ac:dyDescent="0.35"/>
    <row r="4" spans="1:6" ht="15" thickBot="1" x14ac:dyDescent="0.35">
      <c r="A4" s="60" t="s">
        <v>7</v>
      </c>
      <c r="B4" s="61"/>
      <c r="C4" s="61"/>
      <c r="D4" s="61"/>
      <c r="E4" s="61"/>
      <c r="F4" s="62"/>
    </row>
    <row r="5" spans="1:6" x14ac:dyDescent="0.3">
      <c r="A5" s="52" t="s">
        <v>1</v>
      </c>
      <c r="B5" s="54" t="s">
        <v>2</v>
      </c>
      <c r="C5" s="54" t="s">
        <v>3</v>
      </c>
      <c r="D5" s="54" t="s">
        <v>4</v>
      </c>
      <c r="E5" s="56" t="s">
        <v>5</v>
      </c>
      <c r="F5" s="58" t="s">
        <v>6</v>
      </c>
    </row>
    <row r="6" spans="1:6" ht="15" thickBot="1" x14ac:dyDescent="0.35">
      <c r="A6" s="53"/>
      <c r="B6" s="55"/>
      <c r="C6" s="55"/>
      <c r="D6" s="55"/>
      <c r="E6" s="57"/>
      <c r="F6" s="59"/>
    </row>
    <row r="7" spans="1:6" x14ac:dyDescent="0.3">
      <c r="A7" s="5" t="str">
        <f>CHOOSE(WEEKDAY(B7),"SUN","MON","TUE","WED","THU","FRI","SAT")</f>
        <v>SUN</v>
      </c>
      <c r="B7" s="6">
        <v>43800</v>
      </c>
      <c r="C7" s="7">
        <v>20103</v>
      </c>
      <c r="D7" s="7">
        <v>16261</v>
      </c>
      <c r="E7" s="7">
        <f>SUM(C7:D7)</f>
        <v>36364</v>
      </c>
      <c r="F7" s="8"/>
    </row>
    <row r="8" spans="1:6" x14ac:dyDescent="0.3">
      <c r="A8" s="9" t="str">
        <f t="shared" ref="A8:A37" si="0">CHOOSE(WEEKDAY(B8),"SUN","MON","TUE","WED","THU","FRI","SAT")</f>
        <v>MON</v>
      </c>
      <c r="B8" s="10">
        <v>43801</v>
      </c>
      <c r="C8" s="11">
        <v>39763</v>
      </c>
      <c r="D8" s="11">
        <v>35964</v>
      </c>
      <c r="E8" s="7">
        <f t="shared" ref="E8:E37" si="1">SUM(C8:D8)</f>
        <v>75727</v>
      </c>
      <c r="F8" s="12"/>
    </row>
    <row r="9" spans="1:6" x14ac:dyDescent="0.3">
      <c r="A9" s="9" t="str">
        <f t="shared" si="0"/>
        <v>TUE</v>
      </c>
      <c r="B9" s="10">
        <v>43802</v>
      </c>
      <c r="C9" s="11">
        <v>37586</v>
      </c>
      <c r="D9" s="11">
        <v>34169</v>
      </c>
      <c r="E9" s="7">
        <f t="shared" si="1"/>
        <v>71755</v>
      </c>
      <c r="F9" s="12"/>
    </row>
    <row r="10" spans="1:6" x14ac:dyDescent="0.3">
      <c r="A10" s="9" t="str">
        <f t="shared" si="0"/>
        <v>WED</v>
      </c>
      <c r="B10" s="10">
        <v>43803</v>
      </c>
      <c r="C10" s="11">
        <v>36675</v>
      </c>
      <c r="D10" s="11">
        <v>33582</v>
      </c>
      <c r="E10" s="7">
        <f t="shared" si="1"/>
        <v>70257</v>
      </c>
      <c r="F10" s="12"/>
    </row>
    <row r="11" spans="1:6" x14ac:dyDescent="0.3">
      <c r="A11" s="9" t="str">
        <f t="shared" si="0"/>
        <v>THU</v>
      </c>
      <c r="B11" s="10">
        <v>43804</v>
      </c>
      <c r="C11" s="11">
        <v>38201</v>
      </c>
      <c r="D11" s="11">
        <v>35295</v>
      </c>
      <c r="E11" s="7">
        <f t="shared" si="1"/>
        <v>73496</v>
      </c>
      <c r="F11" s="12"/>
    </row>
    <row r="12" spans="1:6" x14ac:dyDescent="0.3">
      <c r="A12" s="9" t="str">
        <f t="shared" si="0"/>
        <v>FRI</v>
      </c>
      <c r="B12" s="10">
        <v>43805</v>
      </c>
      <c r="C12" s="11">
        <v>38495</v>
      </c>
      <c r="D12" s="11">
        <v>36234</v>
      </c>
      <c r="E12" s="7">
        <f t="shared" si="1"/>
        <v>74729</v>
      </c>
      <c r="F12" s="12"/>
    </row>
    <row r="13" spans="1:6" x14ac:dyDescent="0.3">
      <c r="A13" s="9" t="str">
        <f t="shared" si="0"/>
        <v>SAT</v>
      </c>
      <c r="B13" s="10">
        <v>43806</v>
      </c>
      <c r="C13" s="11">
        <v>25193</v>
      </c>
      <c r="D13" s="11">
        <v>22133</v>
      </c>
      <c r="E13" s="7">
        <f t="shared" si="1"/>
        <v>47326</v>
      </c>
      <c r="F13" s="12"/>
    </row>
    <row r="14" spans="1:6" x14ac:dyDescent="0.3">
      <c r="A14" s="9" t="str">
        <f t="shared" si="0"/>
        <v>SUN</v>
      </c>
      <c r="B14" s="10">
        <v>43807</v>
      </c>
      <c r="C14" s="11">
        <v>19838</v>
      </c>
      <c r="D14" s="11">
        <v>16470</v>
      </c>
      <c r="E14" s="7">
        <f t="shared" si="1"/>
        <v>36308</v>
      </c>
      <c r="F14" s="12"/>
    </row>
    <row r="15" spans="1:6" x14ac:dyDescent="0.3">
      <c r="A15" s="9" t="str">
        <f t="shared" si="0"/>
        <v>MON</v>
      </c>
      <c r="B15" s="10">
        <v>43808</v>
      </c>
      <c r="C15" s="11">
        <v>36441</v>
      </c>
      <c r="D15" s="11">
        <v>33201</v>
      </c>
      <c r="E15" s="7">
        <f t="shared" si="1"/>
        <v>69642</v>
      </c>
      <c r="F15" s="12"/>
    </row>
    <row r="16" spans="1:6" x14ac:dyDescent="0.3">
      <c r="A16" s="9" t="str">
        <f t="shared" si="0"/>
        <v>TUE</v>
      </c>
      <c r="B16" s="10">
        <v>43809</v>
      </c>
      <c r="C16" s="11">
        <v>36756</v>
      </c>
      <c r="D16" s="11">
        <v>33416</v>
      </c>
      <c r="E16" s="7">
        <f t="shared" si="1"/>
        <v>70172</v>
      </c>
      <c r="F16" s="12"/>
    </row>
    <row r="17" spans="1:6" x14ac:dyDescent="0.3">
      <c r="A17" s="9" t="str">
        <f t="shared" si="0"/>
        <v>WED</v>
      </c>
      <c r="B17" s="10">
        <v>43810</v>
      </c>
      <c r="C17" s="11">
        <v>36236</v>
      </c>
      <c r="D17" s="11">
        <v>33025</v>
      </c>
      <c r="E17" s="7">
        <f t="shared" si="1"/>
        <v>69261</v>
      </c>
      <c r="F17" s="12"/>
    </row>
    <row r="18" spans="1:6" x14ac:dyDescent="0.3">
      <c r="A18" s="9" t="str">
        <f t="shared" si="0"/>
        <v>THU</v>
      </c>
      <c r="B18" s="10">
        <v>43811</v>
      </c>
      <c r="C18" s="11">
        <v>34834</v>
      </c>
      <c r="D18" s="11">
        <v>31855</v>
      </c>
      <c r="E18" s="7">
        <f t="shared" si="1"/>
        <v>66689</v>
      </c>
      <c r="F18" s="12"/>
    </row>
    <row r="19" spans="1:6" x14ac:dyDescent="0.3">
      <c r="A19" s="9" t="str">
        <f t="shared" si="0"/>
        <v>FRI</v>
      </c>
      <c r="B19" s="10">
        <v>43812</v>
      </c>
      <c r="C19" s="11">
        <v>35348</v>
      </c>
      <c r="D19" s="11">
        <v>32650</v>
      </c>
      <c r="E19" s="7">
        <f t="shared" si="1"/>
        <v>67998</v>
      </c>
      <c r="F19" s="12"/>
    </row>
    <row r="20" spans="1:6" x14ac:dyDescent="0.3">
      <c r="A20" s="9" t="str">
        <f t="shared" si="0"/>
        <v>SAT</v>
      </c>
      <c r="B20" s="10">
        <v>43813</v>
      </c>
      <c r="C20" s="11">
        <v>23033</v>
      </c>
      <c r="D20" s="11">
        <v>20227</v>
      </c>
      <c r="E20" s="7">
        <f t="shared" si="1"/>
        <v>43260</v>
      </c>
      <c r="F20" s="12"/>
    </row>
    <row r="21" spans="1:6" x14ac:dyDescent="0.3">
      <c r="A21" s="9" t="str">
        <f t="shared" si="0"/>
        <v>SUN</v>
      </c>
      <c r="B21" s="10">
        <v>43814</v>
      </c>
      <c r="C21" s="11">
        <v>18208</v>
      </c>
      <c r="D21" s="11">
        <v>15146</v>
      </c>
      <c r="E21" s="7">
        <f t="shared" si="1"/>
        <v>33354</v>
      </c>
      <c r="F21" s="12"/>
    </row>
    <row r="22" spans="1:6" x14ac:dyDescent="0.3">
      <c r="A22" s="9" t="str">
        <f t="shared" si="0"/>
        <v>MON</v>
      </c>
      <c r="B22" s="10">
        <v>43815</v>
      </c>
      <c r="C22" s="11">
        <v>44481</v>
      </c>
      <c r="D22" s="11">
        <v>34405</v>
      </c>
      <c r="E22" s="7">
        <f t="shared" si="1"/>
        <v>78886</v>
      </c>
      <c r="F22" s="12"/>
    </row>
    <row r="23" spans="1:6" x14ac:dyDescent="0.3">
      <c r="A23" s="9" t="str">
        <f t="shared" si="0"/>
        <v>TUE</v>
      </c>
      <c r="B23" s="10">
        <v>43816</v>
      </c>
      <c r="C23" s="11">
        <v>38459</v>
      </c>
      <c r="D23" s="11">
        <v>34729</v>
      </c>
      <c r="E23" s="7">
        <f t="shared" si="1"/>
        <v>73188</v>
      </c>
      <c r="F23" s="12"/>
    </row>
    <row r="24" spans="1:6" x14ac:dyDescent="0.3">
      <c r="A24" s="9" t="str">
        <f t="shared" si="0"/>
        <v>WED</v>
      </c>
      <c r="B24" s="10">
        <v>43817</v>
      </c>
      <c r="C24" s="11">
        <v>36791</v>
      </c>
      <c r="D24" s="11">
        <v>34392</v>
      </c>
      <c r="E24" s="7">
        <f t="shared" si="1"/>
        <v>71183</v>
      </c>
      <c r="F24" s="12"/>
    </row>
    <row r="25" spans="1:6" x14ac:dyDescent="0.3">
      <c r="A25" s="9" t="str">
        <f t="shared" si="0"/>
        <v>THU</v>
      </c>
      <c r="B25" s="10">
        <v>43818</v>
      </c>
      <c r="C25" s="11">
        <v>36338</v>
      </c>
      <c r="D25" s="11">
        <v>33959</v>
      </c>
      <c r="E25" s="7">
        <f t="shared" si="1"/>
        <v>70297</v>
      </c>
      <c r="F25" s="12"/>
    </row>
    <row r="26" spans="1:6" x14ac:dyDescent="0.3">
      <c r="A26" s="9" t="str">
        <f t="shared" si="0"/>
        <v>FRI</v>
      </c>
      <c r="B26" s="10">
        <v>43819</v>
      </c>
      <c r="C26" s="11">
        <v>34467</v>
      </c>
      <c r="D26" s="11">
        <v>31980</v>
      </c>
      <c r="E26" s="7">
        <f t="shared" si="1"/>
        <v>66447</v>
      </c>
      <c r="F26" s="12"/>
    </row>
    <row r="27" spans="1:6" x14ac:dyDescent="0.3">
      <c r="A27" s="9" t="str">
        <f t="shared" si="0"/>
        <v>SAT</v>
      </c>
      <c r="B27" s="10">
        <v>43820</v>
      </c>
      <c r="C27" s="11">
        <v>20103</v>
      </c>
      <c r="D27" s="11">
        <v>18806</v>
      </c>
      <c r="E27" s="7">
        <f t="shared" si="1"/>
        <v>38909</v>
      </c>
      <c r="F27" s="12"/>
    </row>
    <row r="28" spans="1:6" x14ac:dyDescent="0.3">
      <c r="A28" s="9" t="str">
        <f t="shared" si="0"/>
        <v>SUN</v>
      </c>
      <c r="B28" s="10">
        <v>43821</v>
      </c>
      <c r="C28" s="11">
        <v>26116</v>
      </c>
      <c r="D28" s="11">
        <v>22179</v>
      </c>
      <c r="E28" s="7">
        <f t="shared" si="1"/>
        <v>48295</v>
      </c>
      <c r="F28" s="12"/>
    </row>
    <row r="29" spans="1:6" x14ac:dyDescent="0.3">
      <c r="A29" s="9" t="str">
        <f t="shared" si="0"/>
        <v>MON</v>
      </c>
      <c r="B29" s="10">
        <v>43822</v>
      </c>
      <c r="C29" s="11">
        <v>30696</v>
      </c>
      <c r="D29" s="11">
        <v>27684</v>
      </c>
      <c r="E29" s="7">
        <f t="shared" si="1"/>
        <v>58380</v>
      </c>
      <c r="F29" s="12"/>
    </row>
    <row r="30" spans="1:6" x14ac:dyDescent="0.3">
      <c r="A30" s="9" t="str">
        <f t="shared" si="0"/>
        <v>TUE</v>
      </c>
      <c r="B30" s="10">
        <v>43823</v>
      </c>
      <c r="C30" s="11">
        <v>38745</v>
      </c>
      <c r="D30" s="11">
        <v>32072</v>
      </c>
      <c r="E30" s="7">
        <f t="shared" si="1"/>
        <v>70817</v>
      </c>
      <c r="F30" s="12"/>
    </row>
    <row r="31" spans="1:6" x14ac:dyDescent="0.3">
      <c r="A31" s="9" t="str">
        <f t="shared" si="0"/>
        <v>WED</v>
      </c>
      <c r="B31" s="10">
        <v>43824</v>
      </c>
      <c r="C31" s="11">
        <v>22815</v>
      </c>
      <c r="D31" s="11">
        <v>19639</v>
      </c>
      <c r="E31" s="7">
        <f t="shared" si="1"/>
        <v>42454</v>
      </c>
      <c r="F31" s="12"/>
    </row>
    <row r="32" spans="1:6" x14ac:dyDescent="0.3">
      <c r="A32" s="9" t="str">
        <f t="shared" si="0"/>
        <v>THU</v>
      </c>
      <c r="B32" s="10">
        <v>43825</v>
      </c>
      <c r="C32" s="11">
        <v>32946</v>
      </c>
      <c r="D32" s="11">
        <v>30618</v>
      </c>
      <c r="E32" s="7">
        <f t="shared" si="1"/>
        <v>63564</v>
      </c>
      <c r="F32" s="12"/>
    </row>
    <row r="33" spans="1:6" x14ac:dyDescent="0.3">
      <c r="A33" s="9" t="str">
        <f t="shared" si="0"/>
        <v>FRI</v>
      </c>
      <c r="B33" s="10">
        <v>43826</v>
      </c>
      <c r="C33" s="11">
        <v>36466</v>
      </c>
      <c r="D33" s="11">
        <v>28695</v>
      </c>
      <c r="E33" s="7">
        <f t="shared" si="1"/>
        <v>65161</v>
      </c>
      <c r="F33" s="12"/>
    </row>
    <row r="34" spans="1:6" x14ac:dyDescent="0.3">
      <c r="A34" s="9" t="str">
        <f t="shared" si="0"/>
        <v>SAT</v>
      </c>
      <c r="B34" s="10">
        <v>43827</v>
      </c>
      <c r="C34" s="11">
        <v>30295</v>
      </c>
      <c r="D34" s="11">
        <v>27651</v>
      </c>
      <c r="E34" s="7">
        <f t="shared" si="1"/>
        <v>57946</v>
      </c>
      <c r="F34" s="12"/>
    </row>
    <row r="35" spans="1:6" x14ac:dyDescent="0.3">
      <c r="A35" s="9" t="str">
        <f t="shared" si="0"/>
        <v>SUN</v>
      </c>
      <c r="B35" s="10">
        <v>43828</v>
      </c>
      <c r="C35" s="11">
        <v>20103</v>
      </c>
      <c r="D35" s="11">
        <v>22188</v>
      </c>
      <c r="E35" s="7">
        <f t="shared" si="1"/>
        <v>42291</v>
      </c>
      <c r="F35" s="12"/>
    </row>
    <row r="36" spans="1:6" x14ac:dyDescent="0.3">
      <c r="A36" s="9" t="str">
        <f t="shared" si="0"/>
        <v>MON</v>
      </c>
      <c r="B36" s="10">
        <v>43829</v>
      </c>
      <c r="C36" s="11">
        <v>35802</v>
      </c>
      <c r="D36" s="11">
        <v>33136</v>
      </c>
      <c r="E36" s="7">
        <f t="shared" si="1"/>
        <v>68938</v>
      </c>
      <c r="F36" s="12"/>
    </row>
    <row r="37" spans="1:6" ht="15" thickBot="1" x14ac:dyDescent="0.35">
      <c r="A37" s="13" t="str">
        <f t="shared" si="0"/>
        <v>TUE</v>
      </c>
      <c r="B37" s="14">
        <v>43830</v>
      </c>
      <c r="C37" s="15">
        <v>40828</v>
      </c>
      <c r="D37" s="15">
        <v>35030</v>
      </c>
      <c r="E37" s="16">
        <f t="shared" si="1"/>
        <v>75858</v>
      </c>
      <c r="F37" s="17"/>
    </row>
    <row r="38" spans="1:6" ht="15" thickBot="1" x14ac:dyDescent="0.35">
      <c r="A38" s="18"/>
      <c r="B38" s="19" t="s">
        <v>8</v>
      </c>
      <c r="C38" s="20">
        <f>SUM(C7:C37)</f>
        <v>1002161</v>
      </c>
      <c r="D38" s="20">
        <f>SUM(D7:D37)</f>
        <v>896791</v>
      </c>
      <c r="E38" s="21">
        <f>SUM(E7:E37)</f>
        <v>1898952</v>
      </c>
      <c r="F38" s="22"/>
    </row>
    <row r="39" spans="1:6" ht="15" thickBot="1" x14ac:dyDescent="0.35">
      <c r="A39" s="18"/>
      <c r="B39" s="18"/>
      <c r="C39" s="18"/>
      <c r="D39" s="18"/>
      <c r="E39" s="18"/>
      <c r="F39" s="18"/>
    </row>
    <row r="40" spans="1:6" ht="15" thickBot="1" x14ac:dyDescent="0.35">
      <c r="A40" s="18"/>
      <c r="B40" s="48" t="s">
        <v>19</v>
      </c>
      <c r="C40" s="49"/>
      <c r="D40" s="49"/>
      <c r="E40" s="23">
        <f>E38</f>
        <v>1898952</v>
      </c>
      <c r="F40" s="18"/>
    </row>
    <row r="43" spans="1:6" ht="27" customHeight="1" x14ac:dyDescent="0.3">
      <c r="A43" s="50" t="s">
        <v>20</v>
      </c>
      <c r="B43" s="50"/>
      <c r="C43" s="50"/>
      <c r="D43" s="50"/>
    </row>
    <row r="44" spans="1:6" ht="19.5" customHeight="1" x14ac:dyDescent="0.3">
      <c r="A44" s="50"/>
      <c r="B44" s="50"/>
      <c r="C44" s="50"/>
      <c r="D44" s="50"/>
    </row>
  </sheetData>
  <mergeCells count="10">
    <mergeCell ref="B40:D40"/>
    <mergeCell ref="A43:D44"/>
    <mergeCell ref="B1:F1"/>
    <mergeCell ref="A5:A6"/>
    <mergeCell ref="B5:B6"/>
    <mergeCell ref="C5:C6"/>
    <mergeCell ref="D5:D6"/>
    <mergeCell ref="E5:E6"/>
    <mergeCell ref="F5:F6"/>
    <mergeCell ref="A4:F4"/>
  </mergeCells>
  <pageMargins left="0.7" right="0.7" top="0.75" bottom="0.75" header="0.3" footer="0.3"/>
  <ignoredErrors>
    <ignoredError sqref="E7:E3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"/>
  <sheetViews>
    <sheetView workbookViewId="0"/>
  </sheetViews>
  <sheetFormatPr defaultRowHeight="14.4" x14ac:dyDescent="0.3"/>
  <cols>
    <col min="2" max="2" width="13.109375" customWidth="1"/>
    <col min="3" max="4" width="11.6640625" customWidth="1"/>
    <col min="5" max="5" width="12.44140625" customWidth="1"/>
    <col min="6" max="6" width="12.6640625" hidden="1" customWidth="1"/>
  </cols>
  <sheetData>
    <row r="1" spans="1:7" ht="15" thickBot="1" x14ac:dyDescent="0.35">
      <c r="B1" s="24" t="s">
        <v>9</v>
      </c>
      <c r="C1" s="1"/>
      <c r="D1" s="1"/>
      <c r="E1" s="1"/>
      <c r="F1" s="1"/>
      <c r="G1" s="2"/>
    </row>
    <row r="2" spans="1:7" ht="15" thickBot="1" x14ac:dyDescent="0.35">
      <c r="A2" s="60" t="s">
        <v>10</v>
      </c>
      <c r="B2" s="61"/>
      <c r="C2" s="61"/>
      <c r="D2" s="61"/>
      <c r="E2" s="61"/>
      <c r="F2" s="62"/>
    </row>
    <row r="3" spans="1:7" x14ac:dyDescent="0.3">
      <c r="A3" s="80" t="s">
        <v>1</v>
      </c>
      <c r="B3" s="82" t="s">
        <v>2</v>
      </c>
      <c r="C3" s="54" t="s">
        <v>3</v>
      </c>
      <c r="D3" s="54" t="s">
        <v>4</v>
      </c>
      <c r="E3" s="65" t="s">
        <v>5</v>
      </c>
      <c r="F3" s="67"/>
    </row>
    <row r="4" spans="1:7" x14ac:dyDescent="0.3">
      <c r="A4" s="81"/>
      <c r="B4" s="83"/>
      <c r="C4" s="84"/>
      <c r="D4" s="84"/>
      <c r="E4" s="66"/>
      <c r="F4" s="68"/>
    </row>
    <row r="5" spans="1:7" x14ac:dyDescent="0.3">
      <c r="A5" s="25" t="str">
        <f>CHOOSE(WEEKDAY(B5),"SUN","MON","TUE","WED","THU","FRI","SAT")</f>
        <v>MON</v>
      </c>
      <c r="B5" s="26">
        <v>43801</v>
      </c>
      <c r="C5" s="11">
        <v>39763</v>
      </c>
      <c r="D5" s="11">
        <v>35964</v>
      </c>
      <c r="E5" s="11">
        <f>SUM(C5:D5)</f>
        <v>75727</v>
      </c>
      <c r="F5" s="12"/>
    </row>
    <row r="6" spans="1:7" x14ac:dyDescent="0.3">
      <c r="A6" s="25" t="str">
        <f t="shared" ref="A6:A26" si="0">CHOOSE(WEEKDAY(B6),"SUN","MON","TUE","WED","THU","FRI","SAT")</f>
        <v>TUE</v>
      </c>
      <c r="B6" s="26">
        <v>43802</v>
      </c>
      <c r="C6" s="11">
        <v>37586</v>
      </c>
      <c r="D6" s="11">
        <v>34169</v>
      </c>
      <c r="E6" s="11">
        <f t="shared" ref="E6:E26" si="1">SUM(C6:D6)</f>
        <v>71755</v>
      </c>
      <c r="F6" s="12"/>
    </row>
    <row r="7" spans="1:7" x14ac:dyDescent="0.3">
      <c r="A7" s="25" t="str">
        <f t="shared" si="0"/>
        <v>WED</v>
      </c>
      <c r="B7" s="26">
        <v>43803</v>
      </c>
      <c r="C7" s="11">
        <v>36675</v>
      </c>
      <c r="D7" s="11">
        <v>33582</v>
      </c>
      <c r="E7" s="11">
        <f>SUM(C7:D7)</f>
        <v>70257</v>
      </c>
      <c r="F7" s="12"/>
    </row>
    <row r="8" spans="1:7" x14ac:dyDescent="0.3">
      <c r="A8" s="25" t="str">
        <f t="shared" si="0"/>
        <v>THU</v>
      </c>
      <c r="B8" s="26">
        <v>43804</v>
      </c>
      <c r="C8" s="11">
        <v>38201</v>
      </c>
      <c r="D8" s="11">
        <v>35295</v>
      </c>
      <c r="E8" s="11">
        <f t="shared" si="1"/>
        <v>73496</v>
      </c>
      <c r="F8" s="12"/>
    </row>
    <row r="9" spans="1:7" x14ac:dyDescent="0.3">
      <c r="A9" s="25" t="str">
        <f t="shared" si="0"/>
        <v>FRI</v>
      </c>
      <c r="B9" s="26">
        <v>43805</v>
      </c>
      <c r="C9" s="11">
        <v>38495</v>
      </c>
      <c r="D9" s="11">
        <v>36234</v>
      </c>
      <c r="E9" s="11">
        <f t="shared" si="1"/>
        <v>74729</v>
      </c>
      <c r="F9" s="12"/>
    </row>
    <row r="10" spans="1:7" x14ac:dyDescent="0.3">
      <c r="A10" s="25" t="str">
        <f t="shared" si="0"/>
        <v>MON</v>
      </c>
      <c r="B10" s="26">
        <f>B9+3</f>
        <v>43808</v>
      </c>
      <c r="C10" s="11">
        <v>36441</v>
      </c>
      <c r="D10" s="11">
        <v>33201</v>
      </c>
      <c r="E10" s="11">
        <f t="shared" si="1"/>
        <v>69642</v>
      </c>
      <c r="F10" s="12"/>
    </row>
    <row r="11" spans="1:7" x14ac:dyDescent="0.3">
      <c r="A11" s="25" t="str">
        <f t="shared" si="0"/>
        <v>TUE</v>
      </c>
      <c r="B11" s="26">
        <f>B10+1</f>
        <v>43809</v>
      </c>
      <c r="C11" s="11">
        <v>36756</v>
      </c>
      <c r="D11" s="11">
        <v>33416</v>
      </c>
      <c r="E11" s="11">
        <f t="shared" si="1"/>
        <v>70172</v>
      </c>
      <c r="F11" s="12"/>
    </row>
    <row r="12" spans="1:7" x14ac:dyDescent="0.3">
      <c r="A12" s="25" t="str">
        <f t="shared" si="0"/>
        <v>WED</v>
      </c>
      <c r="B12" s="26">
        <f t="shared" ref="B12:B14" si="2">B11+1</f>
        <v>43810</v>
      </c>
      <c r="C12" s="11">
        <v>36236</v>
      </c>
      <c r="D12" s="11">
        <v>33025</v>
      </c>
      <c r="E12" s="11">
        <f t="shared" si="1"/>
        <v>69261</v>
      </c>
      <c r="F12" s="12"/>
    </row>
    <row r="13" spans="1:7" x14ac:dyDescent="0.3">
      <c r="A13" s="25" t="str">
        <f t="shared" si="0"/>
        <v>THU</v>
      </c>
      <c r="B13" s="26">
        <f t="shared" si="2"/>
        <v>43811</v>
      </c>
      <c r="C13" s="11">
        <v>34834</v>
      </c>
      <c r="D13" s="11">
        <v>31855</v>
      </c>
      <c r="E13" s="11">
        <f t="shared" si="1"/>
        <v>66689</v>
      </c>
      <c r="F13" s="12"/>
    </row>
    <row r="14" spans="1:7" x14ac:dyDescent="0.3">
      <c r="A14" s="25" t="str">
        <f t="shared" si="0"/>
        <v>FRI</v>
      </c>
      <c r="B14" s="26">
        <f t="shared" si="2"/>
        <v>43812</v>
      </c>
      <c r="C14" s="11">
        <v>35348</v>
      </c>
      <c r="D14" s="11">
        <v>32650</v>
      </c>
      <c r="E14" s="11">
        <f t="shared" si="1"/>
        <v>67998</v>
      </c>
      <c r="F14" s="12"/>
    </row>
    <row r="15" spans="1:7" x14ac:dyDescent="0.3">
      <c r="A15" s="25" t="str">
        <f t="shared" si="0"/>
        <v>MON</v>
      </c>
      <c r="B15" s="26">
        <f>B14+3</f>
        <v>43815</v>
      </c>
      <c r="C15" s="11">
        <v>44481</v>
      </c>
      <c r="D15" s="11">
        <v>34405</v>
      </c>
      <c r="E15" s="11">
        <f t="shared" si="1"/>
        <v>78886</v>
      </c>
      <c r="F15" s="12"/>
    </row>
    <row r="16" spans="1:7" x14ac:dyDescent="0.3">
      <c r="A16" s="25" t="str">
        <f t="shared" si="0"/>
        <v>TUE</v>
      </c>
      <c r="B16" s="26">
        <f>B15+1</f>
        <v>43816</v>
      </c>
      <c r="C16" s="11">
        <v>38459</v>
      </c>
      <c r="D16" s="11">
        <v>34729</v>
      </c>
      <c r="E16" s="11">
        <f t="shared" si="1"/>
        <v>73188</v>
      </c>
      <c r="F16" s="12"/>
    </row>
    <row r="17" spans="1:6" x14ac:dyDescent="0.3">
      <c r="A17" s="25" t="str">
        <f t="shared" si="0"/>
        <v>WED</v>
      </c>
      <c r="B17" s="26">
        <f t="shared" ref="B17:B19" si="3">B16+1</f>
        <v>43817</v>
      </c>
      <c r="C17" s="11">
        <v>36791</v>
      </c>
      <c r="D17" s="11">
        <v>34392</v>
      </c>
      <c r="E17" s="11">
        <f t="shared" si="1"/>
        <v>71183</v>
      </c>
      <c r="F17" s="12"/>
    </row>
    <row r="18" spans="1:6" x14ac:dyDescent="0.3">
      <c r="A18" s="25" t="str">
        <f t="shared" si="0"/>
        <v>THU</v>
      </c>
      <c r="B18" s="26">
        <f t="shared" si="3"/>
        <v>43818</v>
      </c>
      <c r="C18" s="11">
        <v>36338</v>
      </c>
      <c r="D18" s="11">
        <v>33959</v>
      </c>
      <c r="E18" s="11">
        <f t="shared" si="1"/>
        <v>70297</v>
      </c>
      <c r="F18" s="12"/>
    </row>
    <row r="19" spans="1:6" x14ac:dyDescent="0.3">
      <c r="A19" s="25" t="str">
        <f t="shared" si="0"/>
        <v>FRI</v>
      </c>
      <c r="B19" s="26">
        <f t="shared" si="3"/>
        <v>43819</v>
      </c>
      <c r="C19" s="11">
        <v>34467</v>
      </c>
      <c r="D19" s="11">
        <v>31980</v>
      </c>
      <c r="E19" s="11">
        <f t="shared" si="1"/>
        <v>66447</v>
      </c>
      <c r="F19" s="12"/>
    </row>
    <row r="20" spans="1:6" x14ac:dyDescent="0.3">
      <c r="A20" s="25" t="str">
        <f t="shared" si="0"/>
        <v>MON</v>
      </c>
      <c r="B20" s="26">
        <f>B19+3</f>
        <v>43822</v>
      </c>
      <c r="C20" s="11">
        <v>30696</v>
      </c>
      <c r="D20" s="11">
        <v>27684</v>
      </c>
      <c r="E20" s="11">
        <f t="shared" si="1"/>
        <v>58380</v>
      </c>
      <c r="F20" s="12"/>
    </row>
    <row r="21" spans="1:6" x14ac:dyDescent="0.3">
      <c r="A21" s="25" t="str">
        <f t="shared" si="0"/>
        <v>TUE</v>
      </c>
      <c r="B21" s="26">
        <f>B20+1</f>
        <v>43823</v>
      </c>
      <c r="C21" s="11">
        <v>38745</v>
      </c>
      <c r="D21" s="11">
        <v>32072</v>
      </c>
      <c r="E21" s="11">
        <f t="shared" si="1"/>
        <v>70817</v>
      </c>
      <c r="F21" s="12"/>
    </row>
    <row r="22" spans="1:6" x14ac:dyDescent="0.3">
      <c r="A22" s="25" t="str">
        <f t="shared" si="0"/>
        <v>WED</v>
      </c>
      <c r="B22" s="26">
        <f t="shared" ref="B22:B24" si="4">B21+1</f>
        <v>43824</v>
      </c>
      <c r="C22" s="11">
        <v>22815</v>
      </c>
      <c r="D22" s="11">
        <v>19639</v>
      </c>
      <c r="E22" s="11">
        <f t="shared" si="1"/>
        <v>42454</v>
      </c>
      <c r="F22" s="12"/>
    </row>
    <row r="23" spans="1:6" x14ac:dyDescent="0.3">
      <c r="A23" s="25" t="str">
        <f t="shared" si="0"/>
        <v>THU</v>
      </c>
      <c r="B23" s="26">
        <f t="shared" si="4"/>
        <v>43825</v>
      </c>
      <c r="C23" s="11">
        <v>32946</v>
      </c>
      <c r="D23" s="11">
        <v>30618</v>
      </c>
      <c r="E23" s="11">
        <f t="shared" si="1"/>
        <v>63564</v>
      </c>
      <c r="F23" s="12"/>
    </row>
    <row r="24" spans="1:6" x14ac:dyDescent="0.3">
      <c r="A24" s="25" t="str">
        <f t="shared" si="0"/>
        <v>FRI</v>
      </c>
      <c r="B24" s="26">
        <f t="shared" si="4"/>
        <v>43826</v>
      </c>
      <c r="C24" s="11">
        <v>36466</v>
      </c>
      <c r="D24" s="11">
        <v>28695</v>
      </c>
      <c r="E24" s="11">
        <f t="shared" si="1"/>
        <v>65161</v>
      </c>
      <c r="F24" s="12"/>
    </row>
    <row r="25" spans="1:6" x14ac:dyDescent="0.3">
      <c r="A25" s="25" t="str">
        <f>CHOOSE(WEEKDAY(B25),"SUN","MON","TUE","WED","THU","FRI","SAT")</f>
        <v>MON</v>
      </c>
      <c r="B25" s="26">
        <f>B24+3</f>
        <v>43829</v>
      </c>
      <c r="C25" s="11">
        <v>35802</v>
      </c>
      <c r="D25" s="11">
        <v>33136</v>
      </c>
      <c r="E25" s="11">
        <f t="shared" si="1"/>
        <v>68938</v>
      </c>
      <c r="F25" s="12"/>
    </row>
    <row r="26" spans="1:6" ht="15" thickBot="1" x14ac:dyDescent="0.35">
      <c r="A26" s="27" t="str">
        <f t="shared" si="0"/>
        <v>TUE</v>
      </c>
      <c r="B26" s="28">
        <f>B25+1</f>
        <v>43830</v>
      </c>
      <c r="C26" s="29">
        <v>40828</v>
      </c>
      <c r="D26" s="29">
        <v>35030</v>
      </c>
      <c r="E26" s="29">
        <f t="shared" si="1"/>
        <v>75858</v>
      </c>
      <c r="F26" s="30"/>
    </row>
    <row r="27" spans="1:6" ht="15" thickBot="1" x14ac:dyDescent="0.35">
      <c r="A27" s="31"/>
      <c r="B27" s="32" t="s">
        <v>13</v>
      </c>
      <c r="C27" s="33">
        <f>SUM(C5:C26)</f>
        <v>799169</v>
      </c>
      <c r="D27" s="33">
        <f>SUM(D5:D26)</f>
        <v>715730</v>
      </c>
      <c r="E27" s="34">
        <f>SUM(C27:D27)</f>
        <v>1514899</v>
      </c>
      <c r="F27" s="35"/>
    </row>
    <row r="28" spans="1:6" ht="15" thickBot="1" x14ac:dyDescent="0.35">
      <c r="A28" s="18"/>
      <c r="B28" s="36"/>
      <c r="C28" s="18"/>
      <c r="D28" s="18"/>
      <c r="E28" s="18"/>
      <c r="F28" s="18"/>
    </row>
    <row r="29" spans="1:6" ht="15" thickBot="1" x14ac:dyDescent="0.35">
      <c r="A29" s="78" t="s">
        <v>11</v>
      </c>
      <c r="B29" s="79"/>
      <c r="C29" s="79"/>
      <c r="D29" s="79"/>
      <c r="E29" s="37">
        <f>E27</f>
        <v>1514899</v>
      </c>
      <c r="F29" s="18"/>
    </row>
    <row r="30" spans="1:6" ht="15" thickBot="1" x14ac:dyDescent="0.35">
      <c r="A30" s="78" t="s">
        <v>12</v>
      </c>
      <c r="B30" s="79"/>
      <c r="C30" s="79"/>
      <c r="D30" s="79"/>
      <c r="E30" s="37">
        <f>AVERAGE(E5:E26)</f>
        <v>68859.045454545456</v>
      </c>
      <c r="F30" s="18"/>
    </row>
    <row r="31" spans="1:6" x14ac:dyDescent="0.3">
      <c r="A31" s="85"/>
      <c r="B31" s="85"/>
      <c r="C31" s="85"/>
      <c r="D31" s="85"/>
      <c r="E31" s="86"/>
      <c r="F31" s="18"/>
    </row>
    <row r="32" spans="1:6" x14ac:dyDescent="0.3">
      <c r="A32" s="85"/>
      <c r="B32" s="85"/>
      <c r="C32" s="85"/>
      <c r="D32" s="85"/>
      <c r="E32" s="86"/>
      <c r="F32" s="18"/>
    </row>
    <row r="33" spans="1:6" ht="15" thickBot="1" x14ac:dyDescent="0.35">
      <c r="A33" s="38"/>
      <c r="B33" s="38"/>
      <c r="C33" s="38"/>
      <c r="D33" s="38"/>
      <c r="E33" s="39"/>
      <c r="F33" s="18"/>
    </row>
    <row r="34" spans="1:6" ht="15" thickBot="1" x14ac:dyDescent="0.35">
      <c r="A34" s="69" t="s">
        <v>14</v>
      </c>
      <c r="B34" s="70"/>
      <c r="C34" s="70"/>
      <c r="D34" s="70"/>
      <c r="E34" s="71"/>
      <c r="F34" s="18"/>
    </row>
    <row r="35" spans="1:6" x14ac:dyDescent="0.3">
      <c r="A35" s="72" t="s">
        <v>1</v>
      </c>
      <c r="B35" s="74" t="s">
        <v>2</v>
      </c>
      <c r="C35" s="74" t="s">
        <v>3</v>
      </c>
      <c r="D35" s="74" t="s">
        <v>4</v>
      </c>
      <c r="E35" s="76" t="s">
        <v>5</v>
      </c>
      <c r="F35" s="18"/>
    </row>
    <row r="36" spans="1:6" x14ac:dyDescent="0.3">
      <c r="A36" s="73"/>
      <c r="B36" s="75"/>
      <c r="C36" s="75"/>
      <c r="D36" s="75"/>
      <c r="E36" s="77"/>
      <c r="F36" s="18"/>
    </row>
    <row r="37" spans="1:6" x14ac:dyDescent="0.3">
      <c r="A37" s="9" t="str">
        <f>CHOOSE(WEEKDAY(B37),"SUN","MON","TUE","WED","THU","FRI","SAT")</f>
        <v>SUN</v>
      </c>
      <c r="B37" s="3">
        <v>43800</v>
      </c>
      <c r="C37" s="11">
        <v>20103</v>
      </c>
      <c r="D37" s="11">
        <v>16261</v>
      </c>
      <c r="E37" s="12">
        <f>SUM(C37:D37)</f>
        <v>36364</v>
      </c>
      <c r="F37" s="18"/>
    </row>
    <row r="38" spans="1:6" x14ac:dyDescent="0.3">
      <c r="A38" s="9" t="str">
        <f t="shared" ref="A38:A45" si="5">CHOOSE(WEEKDAY(B38),"SUN","MON","TUE","WED","THU","FRI","SAT")</f>
        <v>SAT</v>
      </c>
      <c r="B38" s="3">
        <f>B37+6</f>
        <v>43806</v>
      </c>
      <c r="C38" s="11">
        <v>25193</v>
      </c>
      <c r="D38" s="11">
        <v>22133</v>
      </c>
      <c r="E38" s="12">
        <f t="shared" ref="E38:E45" si="6">SUM(C38:D38)</f>
        <v>47326</v>
      </c>
      <c r="F38" s="18"/>
    </row>
    <row r="39" spans="1:6" x14ac:dyDescent="0.3">
      <c r="A39" s="9" t="str">
        <f t="shared" si="5"/>
        <v>SUN</v>
      </c>
      <c r="B39" s="3">
        <f>B38+1</f>
        <v>43807</v>
      </c>
      <c r="C39" s="11">
        <v>19838</v>
      </c>
      <c r="D39" s="11">
        <v>16470</v>
      </c>
      <c r="E39" s="12">
        <f t="shared" si="6"/>
        <v>36308</v>
      </c>
      <c r="F39" s="18"/>
    </row>
    <row r="40" spans="1:6" x14ac:dyDescent="0.3">
      <c r="A40" s="9" t="str">
        <f t="shared" si="5"/>
        <v>SAT</v>
      </c>
      <c r="B40" s="3">
        <f>B39+6</f>
        <v>43813</v>
      </c>
      <c r="C40" s="11">
        <v>23033</v>
      </c>
      <c r="D40" s="11">
        <v>20227</v>
      </c>
      <c r="E40" s="12">
        <f t="shared" si="6"/>
        <v>43260</v>
      </c>
      <c r="F40" s="18"/>
    </row>
    <row r="41" spans="1:6" x14ac:dyDescent="0.3">
      <c r="A41" s="9" t="str">
        <f t="shared" si="5"/>
        <v>SUN</v>
      </c>
      <c r="B41" s="3">
        <f>B40+1</f>
        <v>43814</v>
      </c>
      <c r="C41" s="11">
        <v>18208</v>
      </c>
      <c r="D41" s="11">
        <v>15146</v>
      </c>
      <c r="E41" s="12">
        <f t="shared" si="6"/>
        <v>33354</v>
      </c>
      <c r="F41" s="18"/>
    </row>
    <row r="42" spans="1:6" x14ac:dyDescent="0.3">
      <c r="A42" s="9" t="str">
        <f t="shared" si="5"/>
        <v>SAT</v>
      </c>
      <c r="B42" s="3">
        <f>B41+6</f>
        <v>43820</v>
      </c>
      <c r="C42" s="11">
        <v>20103</v>
      </c>
      <c r="D42" s="11">
        <v>18806</v>
      </c>
      <c r="E42" s="12">
        <f t="shared" si="6"/>
        <v>38909</v>
      </c>
      <c r="F42" s="18"/>
    </row>
    <row r="43" spans="1:6" x14ac:dyDescent="0.3">
      <c r="A43" s="9" t="str">
        <f t="shared" si="5"/>
        <v>SUN</v>
      </c>
      <c r="B43" s="3">
        <f>B42+1</f>
        <v>43821</v>
      </c>
      <c r="C43" s="11">
        <v>26116</v>
      </c>
      <c r="D43" s="11">
        <v>22179</v>
      </c>
      <c r="E43" s="12">
        <f t="shared" si="6"/>
        <v>48295</v>
      </c>
      <c r="F43" s="18"/>
    </row>
    <row r="44" spans="1:6" x14ac:dyDescent="0.3">
      <c r="A44" s="9" t="str">
        <f t="shared" si="5"/>
        <v>SAT</v>
      </c>
      <c r="B44" s="3">
        <f>B43+6</f>
        <v>43827</v>
      </c>
      <c r="C44" s="11">
        <v>30295</v>
      </c>
      <c r="D44" s="11">
        <v>27651</v>
      </c>
      <c r="E44" s="12">
        <f t="shared" si="6"/>
        <v>57946</v>
      </c>
      <c r="F44" s="18"/>
    </row>
    <row r="45" spans="1:6" ht="15" thickBot="1" x14ac:dyDescent="0.35">
      <c r="A45" s="13" t="str">
        <f t="shared" si="5"/>
        <v>SUN</v>
      </c>
      <c r="B45" s="4">
        <f>B44+1</f>
        <v>43828</v>
      </c>
      <c r="C45" s="29">
        <v>20103</v>
      </c>
      <c r="D45" s="29">
        <v>22188</v>
      </c>
      <c r="E45" s="30">
        <f t="shared" si="6"/>
        <v>42291</v>
      </c>
      <c r="F45" s="18"/>
    </row>
    <row r="46" spans="1:6" ht="15" thickBot="1" x14ac:dyDescent="0.35">
      <c r="A46" s="40"/>
      <c r="B46" s="41" t="s">
        <v>15</v>
      </c>
      <c r="C46" s="42">
        <f>SUM(C37:C45)</f>
        <v>202992</v>
      </c>
      <c r="D46" s="42">
        <f>SUM(D37:D45)</f>
        <v>181061</v>
      </c>
      <c r="E46" s="43">
        <f>SUM(E37:E45)</f>
        <v>384053</v>
      </c>
      <c r="F46" s="18"/>
    </row>
    <row r="47" spans="1:6" ht="15" thickBot="1" x14ac:dyDescent="0.35">
      <c r="A47" s="40"/>
      <c r="B47" s="40"/>
      <c r="C47" s="40"/>
      <c r="D47" s="40"/>
      <c r="E47" s="40"/>
      <c r="F47" s="18"/>
    </row>
    <row r="48" spans="1:6" ht="15" thickBot="1" x14ac:dyDescent="0.35">
      <c r="A48" s="63" t="s">
        <v>16</v>
      </c>
      <c r="B48" s="64"/>
      <c r="C48" s="64"/>
      <c r="D48" s="64"/>
      <c r="E48" s="44">
        <f>E46</f>
        <v>384053</v>
      </c>
      <c r="F48" s="18"/>
    </row>
    <row r="49" spans="1:6" ht="15" thickBot="1" x14ac:dyDescent="0.35">
      <c r="A49" s="24"/>
      <c r="B49" s="24"/>
      <c r="C49" s="24"/>
      <c r="D49" s="24"/>
      <c r="E49" s="45"/>
      <c r="F49" s="18"/>
    </row>
    <row r="50" spans="1:6" ht="15" thickBot="1" x14ac:dyDescent="0.35">
      <c r="A50" s="63" t="s">
        <v>17</v>
      </c>
      <c r="B50" s="64"/>
      <c r="C50" s="64"/>
      <c r="D50" s="64"/>
      <c r="E50" s="46">
        <f>AVERAGE(E38,E40,E42,E44)</f>
        <v>46860.25</v>
      </c>
      <c r="F50" s="18"/>
    </row>
    <row r="51" spans="1:6" ht="15" thickBot="1" x14ac:dyDescent="0.35">
      <c r="A51" s="63" t="s">
        <v>18</v>
      </c>
      <c r="B51" s="64"/>
      <c r="C51" s="64"/>
      <c r="D51" s="64"/>
      <c r="E51" s="47">
        <f>AVERAGE(E37,E39,E41,E43,E45)</f>
        <v>39322.400000000001</v>
      </c>
      <c r="F51" s="18"/>
    </row>
    <row r="52" spans="1:6" x14ac:dyDescent="0.3">
      <c r="A52" s="18"/>
      <c r="B52" s="18"/>
      <c r="C52" s="18"/>
      <c r="D52" s="18"/>
      <c r="E52" s="18"/>
      <c r="F52" s="18"/>
    </row>
    <row r="54" spans="1:6" ht="21.75" customHeight="1" x14ac:dyDescent="0.3">
      <c r="A54" s="50" t="s">
        <v>20</v>
      </c>
      <c r="B54" s="50"/>
      <c r="C54" s="50"/>
      <c r="D54" s="50"/>
    </row>
    <row r="55" spans="1:6" ht="23.25" customHeight="1" x14ac:dyDescent="0.3">
      <c r="A55" s="50"/>
      <c r="B55" s="50"/>
      <c r="C55" s="50"/>
      <c r="D55" s="50"/>
    </row>
  </sheetData>
  <mergeCells count="19">
    <mergeCell ref="F3:F4"/>
    <mergeCell ref="A2:F2"/>
    <mergeCell ref="A34:E34"/>
    <mergeCell ref="A35:A36"/>
    <mergeCell ref="B35:B36"/>
    <mergeCell ref="C35:C36"/>
    <mergeCell ref="D35:D36"/>
    <mergeCell ref="E35:E36"/>
    <mergeCell ref="A29:D29"/>
    <mergeCell ref="A30:D30"/>
    <mergeCell ref="A3:A4"/>
    <mergeCell ref="B3:B4"/>
    <mergeCell ref="C3:C4"/>
    <mergeCell ref="D3:D4"/>
    <mergeCell ref="A54:D55"/>
    <mergeCell ref="A48:D48"/>
    <mergeCell ref="A50:D50"/>
    <mergeCell ref="A51:D51"/>
    <mergeCell ref="E3:E4"/>
  </mergeCells>
  <pageMargins left="0.7" right="0.7" top="0.75" bottom="0.75" header="0.3" footer="0.3"/>
  <pageSetup orientation="portrait" r:id="rId1"/>
  <ignoredErrors>
    <ignoredError sqref="B15:B26 B39:B44" formula="1"/>
    <ignoredError sqref="E5:E9 E3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10" ma:contentTypeDescription="Create a new document." ma:contentTypeScope="" ma:versionID="d5e8cfcf6eb2dd5d2db3c0c620d248eb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d03289d0b41cd5157412eb94182a3401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7E3ECB-E902-439B-9C2F-458E3BF4B2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F14E71-8D54-4219-822E-6DEF7E1C72E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7D969EAA-42FC-4C34-8347-D2E82FBACD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James-Young, Jean</dc:creator>
  <cp:lastModifiedBy>Lucy Santana</cp:lastModifiedBy>
  <dcterms:created xsi:type="dcterms:W3CDTF">2020-01-24T20:30:48Z</dcterms:created>
  <dcterms:modified xsi:type="dcterms:W3CDTF">2026-04-07T20:55:05Z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