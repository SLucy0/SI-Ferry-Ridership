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ba793b93b84dd1b/Documents/Python for Data Analytics/Capstone_project/SIFMonthlyRidership_2017_to_2025/"/>
    </mc:Choice>
  </mc:AlternateContent>
  <xr:revisionPtr revIDLastSave="0" documentId="8_{29B98A47-3CB2-462F-BCEF-FE77BBABFA65}" xr6:coauthVersionLast="47" xr6:coauthVersionMax="47" xr10:uidLastSave="{00000000-0000-0000-0000-000000000000}"/>
  <bookViews>
    <workbookView xWindow="-108" yWindow="-108" windowWidth="23256" windowHeight="13896" xr2:uid="{A6EA9BA0-1C41-47B1-94F5-9AB73EB6D9F2}"/>
  </bookViews>
  <sheets>
    <sheet name="TOTALS" sheetId="1" r:id="rId1"/>
    <sheet name="Weekday-Weekend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1" l="1"/>
  <c r="E40" i="1" s="1"/>
  <c r="E27" i="3"/>
  <c r="E24" i="3"/>
  <c r="C45" i="3"/>
  <c r="E41" i="3"/>
  <c r="D28" i="3"/>
  <c r="E17" i="3"/>
  <c r="E16" i="3"/>
  <c r="D45" i="3"/>
  <c r="E6" i="3"/>
  <c r="E7" i="3"/>
  <c r="E8" i="3"/>
  <c r="E9" i="3"/>
  <c r="E10" i="3"/>
  <c r="E11" i="3"/>
  <c r="E12" i="3"/>
  <c r="E13" i="3"/>
  <c r="E14" i="3"/>
  <c r="E15" i="3"/>
  <c r="E18" i="3"/>
  <c r="E19" i="3"/>
  <c r="E20" i="3"/>
  <c r="E21" i="3"/>
  <c r="E22" i="3"/>
  <c r="E23" i="3"/>
  <c r="E25" i="3"/>
  <c r="E26" i="3"/>
  <c r="E5" i="3"/>
  <c r="D38" i="1"/>
  <c r="C38" i="1"/>
  <c r="E44" i="3"/>
  <c r="E43" i="3"/>
  <c r="E38" i="3"/>
  <c r="E50" i="3" s="1"/>
  <c r="E37" i="3"/>
  <c r="E49" i="3" s="1"/>
  <c r="A42" i="3"/>
  <c r="A41" i="3"/>
  <c r="A40" i="3"/>
  <c r="A39" i="3"/>
  <c r="A38" i="3"/>
  <c r="A37" i="3"/>
  <c r="A43" i="3"/>
  <c r="A44" i="3"/>
  <c r="E40" i="3"/>
  <c r="E39" i="3"/>
  <c r="E42" i="3"/>
  <c r="C28" i="3"/>
  <c r="E31" i="3" l="1"/>
  <c r="E28" i="3"/>
  <c r="E30" i="3" s="1"/>
  <c r="E45" i="3"/>
  <c r="E47" i="3" s="1"/>
</calcChain>
</file>

<file path=xl/sharedStrings.xml><?xml version="1.0" encoding="utf-8"?>
<sst xmlns="http://schemas.openxmlformats.org/spreadsheetml/2006/main" count="84" uniqueCount="24">
  <si>
    <t>Day</t>
  </si>
  <si>
    <t>Date</t>
  </si>
  <si>
    <t>TOTALS:</t>
  </si>
  <si>
    <t>WHT</t>
  </si>
  <si>
    <t>STG</t>
  </si>
  <si>
    <t xml:space="preserve">Average Saturday Passengers: </t>
  </si>
  <si>
    <t xml:space="preserve">Average Sunday Passengers: </t>
  </si>
  <si>
    <t xml:space="preserve">Average Passengers/Weekday: </t>
  </si>
  <si>
    <t xml:space="preserve">PASSENGER COUNT TOTAL:  </t>
  </si>
  <si>
    <t>Combined TOTAL</t>
  </si>
  <si>
    <t>MON</t>
  </si>
  <si>
    <t>WED</t>
  </si>
  <si>
    <t>FRI</t>
  </si>
  <si>
    <t>THU</t>
  </si>
  <si>
    <t>TUE</t>
  </si>
  <si>
    <t>.</t>
  </si>
  <si>
    <t>SAT</t>
  </si>
  <si>
    <t>SUN</t>
  </si>
  <si>
    <t xml:space="preserve">       July 2025 Staten Island Ferry Ridership</t>
  </si>
  <si>
    <t xml:space="preserve">July 2025:  WEEKDAY TOTALS </t>
  </si>
  <si>
    <t xml:space="preserve">Total Weekday Pax Count July 2025: </t>
  </si>
  <si>
    <t xml:space="preserve">July 2025:  WEEKEND TOTALS </t>
  </si>
  <si>
    <t xml:space="preserve">Total Weekend Pax Count July 2025: </t>
  </si>
  <si>
    <t>4th of 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</si>
</sst>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#,##0;[Red]#,##0"/>
  </numFmts>
  <fonts count="11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indexed="9"/>
      <name val="Century Gothic"/>
      <family val="2"/>
    </font>
    <font>
      <b/>
      <sz val="10"/>
      <color indexed="8"/>
      <name val="Century Gothic"/>
      <family val="2"/>
    </font>
    <font>
      <sz val="10"/>
      <color indexed="8"/>
      <name val="Century Gothic"/>
      <family val="2"/>
    </font>
    <font>
      <sz val="8"/>
      <name val="Arial"/>
      <family val="2"/>
    </font>
    <font>
      <i/>
      <sz val="10"/>
      <name val="Century Gothic"/>
      <family val="2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 applyAlignment="1">
      <alignment horizontal="right"/>
    </xf>
    <xf numFmtId="4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14" fontId="3" fillId="0" borderId="1" xfId="0" applyNumberFormat="1" applyFont="1" applyBorder="1" applyAlignment="1">
      <alignment horizontal="center"/>
    </xf>
    <xf numFmtId="41" fontId="4" fillId="2" borderId="1" xfId="0" applyNumberFormat="1" applyFont="1" applyFill="1" applyBorder="1" applyAlignment="1">
      <alignment horizontal="center"/>
    </xf>
    <xf numFmtId="37" fontId="4" fillId="2" borderId="1" xfId="0" applyNumberFormat="1" applyFont="1" applyFill="1" applyBorder="1" applyAlignment="1">
      <alignment horizontal="right"/>
    </xf>
    <xf numFmtId="37" fontId="4" fillId="2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/>
    </xf>
    <xf numFmtId="164" fontId="7" fillId="0" borderId="1" xfId="1" applyNumberFormat="1" applyFont="1" applyBorder="1" applyAlignment="1"/>
    <xf numFmtId="164" fontId="7" fillId="0" borderId="1" xfId="1" applyNumberFormat="1" applyFont="1" applyBorder="1" applyAlignment="1">
      <alignment horizontal="left"/>
    </xf>
    <xf numFmtId="41" fontId="4" fillId="2" borderId="1" xfId="0" applyNumberFormat="1" applyFont="1" applyFill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7" fillId="0" borderId="1" xfId="1" applyNumberFormat="1" applyFont="1" applyBorder="1" applyAlignment="1">
      <alignment vertical="center"/>
    </xf>
    <xf numFmtId="41" fontId="4" fillId="2" borderId="2" xfId="0" applyNumberFormat="1" applyFont="1" applyFill="1" applyBorder="1" applyAlignment="1">
      <alignment vertical="center"/>
    </xf>
    <xf numFmtId="41" fontId="4" fillId="0" borderId="0" xfId="0" applyNumberFormat="1" applyFont="1" applyAlignment="1">
      <alignment vertical="center"/>
    </xf>
    <xf numFmtId="37" fontId="4" fillId="0" borderId="0" xfId="0" applyNumberFormat="1" applyFont="1" applyAlignment="1">
      <alignment vertical="center"/>
    </xf>
    <xf numFmtId="41" fontId="4" fillId="2" borderId="3" xfId="0" applyNumberFormat="1" applyFont="1" applyFill="1" applyBorder="1" applyAlignment="1">
      <alignment vertical="center"/>
    </xf>
    <xf numFmtId="3" fontId="3" fillId="0" borderId="1" xfId="0" applyNumberFormat="1" applyFont="1" applyBorder="1" applyAlignment="1">
      <alignment horizontal="right"/>
    </xf>
    <xf numFmtId="164" fontId="7" fillId="0" borderId="1" xfId="1" applyNumberFormat="1" applyFont="1" applyBorder="1" applyAlignment="1">
      <alignment horizontal="right"/>
    </xf>
    <xf numFmtId="164" fontId="3" fillId="0" borderId="1" xfId="1" applyNumberFormat="1" applyFont="1" applyBorder="1" applyAlignment="1">
      <alignment horizontal="right"/>
    </xf>
    <xf numFmtId="3" fontId="7" fillId="0" borderId="1" xfId="1" applyNumberFormat="1" applyFont="1" applyBorder="1" applyAlignment="1">
      <alignment horizontal="right"/>
    </xf>
    <xf numFmtId="164" fontId="7" fillId="0" borderId="1" xfId="1" applyNumberFormat="1" applyFont="1" applyFill="1" applyBorder="1" applyAlignment="1">
      <alignment vertical="center"/>
    </xf>
    <xf numFmtId="164" fontId="3" fillId="0" borderId="1" xfId="1" applyNumberFormat="1" applyFont="1" applyBorder="1" applyAlignment="1">
      <alignment vertical="center"/>
    </xf>
    <xf numFmtId="164" fontId="7" fillId="0" borderId="1" xfId="1" applyNumberFormat="1" applyFont="1" applyBorder="1" applyAlignment="1">
      <alignment horizontal="right" vertical="center"/>
    </xf>
    <xf numFmtId="164" fontId="3" fillId="0" borderId="1" xfId="1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center"/>
    </xf>
    <xf numFmtId="165" fontId="3" fillId="0" borderId="1" xfId="0" applyNumberFormat="1" applyFont="1" applyBorder="1"/>
    <xf numFmtId="165" fontId="7" fillId="0" borderId="1" xfId="1" applyNumberFormat="1" applyFont="1" applyBorder="1" applyAlignment="1">
      <alignment horizontal="right"/>
    </xf>
    <xf numFmtId="37" fontId="9" fillId="0" borderId="0" xfId="0" applyNumberFormat="1" applyFont="1" applyAlignment="1">
      <alignment horizontal="center"/>
    </xf>
    <xf numFmtId="164" fontId="10" fillId="0" borderId="1" xfId="1" applyNumberFormat="1" applyFont="1" applyBorder="1" applyAlignment="1">
      <alignment vertical="center"/>
    </xf>
    <xf numFmtId="0" fontId="3" fillId="5" borderId="1" xfId="0" applyFont="1" applyFill="1" applyBorder="1" applyAlignment="1">
      <alignment horizontal="center"/>
    </xf>
    <xf numFmtId="14" fontId="3" fillId="5" borderId="1" xfId="0" applyNumberFormat="1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164" fontId="3" fillId="0" borderId="1" xfId="1" applyNumberFormat="1" applyFont="1" applyBorder="1" applyAlignment="1">
      <alignment horizontal="right" vertical="center"/>
    </xf>
    <xf numFmtId="164" fontId="7" fillId="0" borderId="4" xfId="1" applyNumberFormat="1" applyFont="1" applyBorder="1" applyAlignment="1">
      <alignment vertical="center"/>
    </xf>
    <xf numFmtId="3" fontId="3" fillId="0" borderId="4" xfId="0" applyNumberFormat="1" applyFont="1" applyBorder="1" applyAlignment="1">
      <alignment horizontal="right"/>
    </xf>
    <xf numFmtId="164" fontId="3" fillId="0" borderId="1" xfId="1" applyNumberFormat="1" applyFont="1" applyBorder="1"/>
    <xf numFmtId="17" fontId="5" fillId="3" borderId="5" xfId="0" applyNumberFormat="1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 vertical="center"/>
    </xf>
    <xf numFmtId="0" fontId="3" fillId="0" borderId="9" xfId="0" applyFont="1" applyBorder="1"/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14" fontId="4" fillId="2" borderId="11" xfId="0" applyNumberFormat="1" applyFont="1" applyFill="1" applyBorder="1" applyAlignment="1">
      <alignment horizontal="center"/>
    </xf>
    <xf numFmtId="14" fontId="4" fillId="2" borderId="12" xfId="0" applyNumberFormat="1" applyFont="1" applyFill="1" applyBorder="1" applyAlignment="1">
      <alignment horizontal="center"/>
    </xf>
    <xf numFmtId="14" fontId="4" fillId="2" borderId="1" xfId="0" applyNumberFormat="1" applyFont="1" applyFill="1" applyBorder="1" applyAlignment="1">
      <alignment horizontal="center"/>
    </xf>
    <xf numFmtId="41" fontId="4" fillId="2" borderId="1" xfId="0" applyNumberFormat="1" applyFont="1" applyFill="1" applyBorder="1" applyAlignment="1">
      <alignment horizontal="right"/>
    </xf>
    <xf numFmtId="0" fontId="6" fillId="4" borderId="1" xfId="0" applyFont="1" applyFill="1" applyBorder="1" applyAlignment="1">
      <alignment horizontal="center" vertical="top" wrapText="1"/>
    </xf>
    <xf numFmtId="14" fontId="4" fillId="2" borderId="13" xfId="0" applyNumberFormat="1" applyFont="1" applyFill="1" applyBorder="1" applyAlignment="1">
      <alignment horizontal="center"/>
    </xf>
    <xf numFmtId="14" fontId="4" fillId="2" borderId="14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1" fontId="4" fillId="2" borderId="0" xfId="0" applyNumberFormat="1" applyFont="1" applyFill="1" applyBorder="1" applyAlignment="1">
      <alignment horizontal="right"/>
    </xf>
    <xf numFmtId="37" fontId="4" fillId="2" borderId="0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1</xdr:col>
      <xdr:colOff>190501</xdr:colOff>
      <xdr:row>2</xdr:row>
      <xdr:rowOff>152400</xdr:rowOff>
    </xdr:to>
    <xdr:pic>
      <xdr:nvPicPr>
        <xdr:cNvPr id="6172" name="Picture 31" descr="DOT%20Logo_green">
          <a:extLst>
            <a:ext uri="{FF2B5EF4-FFF2-40B4-BE49-F238E27FC236}">
              <a16:creationId xmlns:a16="http://schemas.microsoft.com/office/drawing/2014/main" id="{DA278325-D1D2-981C-3AA7-CCED2EA00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2450" y="38100"/>
          <a:ext cx="7334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368C3-3014-4356-B7D7-6EDD3CD9A622}">
  <dimension ref="A1:F40"/>
  <sheetViews>
    <sheetView tabSelected="1" zoomScale="90" zoomScaleNormal="90" workbookViewId="0">
      <selection activeCell="A5" sqref="A5:A6"/>
    </sheetView>
  </sheetViews>
  <sheetFormatPr defaultColWidth="9.109375" defaultRowHeight="13.2" x14ac:dyDescent="0.25"/>
  <cols>
    <col min="1" max="1" width="9.109375" style="1" customWidth="1"/>
    <col min="2" max="2" width="13.44140625" style="1" customWidth="1"/>
    <col min="3" max="4" width="12.33203125" style="14" customWidth="1"/>
    <col min="5" max="5" width="16.33203125" style="14" customWidth="1"/>
    <col min="6" max="6" width="23" style="29" customWidth="1"/>
    <col min="7" max="8" width="9.109375" style="1"/>
    <col min="9" max="9" width="9.6640625" style="1" bestFit="1" customWidth="1"/>
    <col min="10" max="16384" width="9.109375" style="1"/>
  </cols>
  <sheetData>
    <row r="1" spans="1:6" ht="12.75" customHeight="1" x14ac:dyDescent="0.25"/>
    <row r="2" spans="1:6" x14ac:dyDescent="0.25">
      <c r="A2" s="2"/>
      <c r="B2" s="2" t="s">
        <v>18</v>
      </c>
      <c r="C2" s="15"/>
      <c r="D2" s="15"/>
      <c r="E2" s="15"/>
    </row>
    <row r="3" spans="1:6" ht="15" customHeight="1" thickBot="1" x14ac:dyDescent="0.3"/>
    <row r="4" spans="1:6" x14ac:dyDescent="0.25">
      <c r="A4" s="41">
        <v>45839</v>
      </c>
      <c r="B4" s="42"/>
      <c r="C4" s="42"/>
      <c r="D4" s="42"/>
      <c r="E4" s="42"/>
    </row>
    <row r="5" spans="1:6" x14ac:dyDescent="0.25">
      <c r="A5" s="45" t="s">
        <v>0</v>
      </c>
      <c r="B5" s="47" t="s">
        <v>1</v>
      </c>
      <c r="C5" s="49" t="s">
        <v>3</v>
      </c>
      <c r="D5" s="47" t="s">
        <v>4</v>
      </c>
      <c r="E5" s="51" t="s">
        <v>9</v>
      </c>
    </row>
    <row r="6" spans="1:6" x14ac:dyDescent="0.25">
      <c r="A6" s="46"/>
      <c r="B6" s="48"/>
      <c r="C6" s="50"/>
      <c r="D6" s="50"/>
      <c r="E6" s="52"/>
    </row>
    <row r="7" spans="1:6" x14ac:dyDescent="0.25">
      <c r="A7" s="10" t="s">
        <v>14</v>
      </c>
      <c r="B7" s="6">
        <v>45839</v>
      </c>
      <c r="C7" s="22">
        <v>24869</v>
      </c>
      <c r="D7" s="22">
        <v>24308</v>
      </c>
      <c r="E7" s="21">
        <v>49177</v>
      </c>
    </row>
    <row r="8" spans="1:6" x14ac:dyDescent="0.25">
      <c r="A8" s="10" t="s">
        <v>11</v>
      </c>
      <c r="B8" s="6">
        <v>45840</v>
      </c>
      <c r="C8" s="22">
        <v>27601</v>
      </c>
      <c r="D8" s="22">
        <v>26588</v>
      </c>
      <c r="E8" s="21">
        <v>53649</v>
      </c>
      <c r="F8" s="36"/>
    </row>
    <row r="9" spans="1:6" x14ac:dyDescent="0.25">
      <c r="A9" s="10" t="s">
        <v>13</v>
      </c>
      <c r="B9" s="6">
        <v>45841</v>
      </c>
      <c r="C9" s="23">
        <v>27881</v>
      </c>
      <c r="D9" s="23">
        <v>27135</v>
      </c>
      <c r="E9" s="21">
        <v>55016</v>
      </c>
      <c r="F9" s="36"/>
    </row>
    <row r="10" spans="1:6" x14ac:dyDescent="0.25">
      <c r="A10" s="34" t="s">
        <v>12</v>
      </c>
      <c r="B10" s="35">
        <v>45842</v>
      </c>
      <c r="C10" s="22">
        <v>24599</v>
      </c>
      <c r="D10" s="22">
        <v>23481</v>
      </c>
      <c r="E10" s="21">
        <v>48080</v>
      </c>
      <c r="F10" s="29" t="s">
        <v>23</v>
      </c>
    </row>
    <row r="11" spans="1:6" x14ac:dyDescent="0.25">
      <c r="A11" s="10" t="s">
        <v>16</v>
      </c>
      <c r="B11" s="6">
        <v>45843</v>
      </c>
      <c r="C11" s="22">
        <v>29430</v>
      </c>
      <c r="D11" s="22">
        <v>28384</v>
      </c>
      <c r="E11" s="21">
        <v>57814</v>
      </c>
    </row>
    <row r="12" spans="1:6" x14ac:dyDescent="0.25">
      <c r="A12" s="10" t="s">
        <v>17</v>
      </c>
      <c r="B12" s="6">
        <v>45844</v>
      </c>
      <c r="C12" s="22">
        <v>23881</v>
      </c>
      <c r="D12" s="22">
        <v>23088</v>
      </c>
      <c r="E12" s="21">
        <v>46969</v>
      </c>
    </row>
    <row r="13" spans="1:6" x14ac:dyDescent="0.25">
      <c r="A13" s="10" t="s">
        <v>10</v>
      </c>
      <c r="B13" s="6">
        <v>45845</v>
      </c>
      <c r="C13" s="22">
        <v>25099</v>
      </c>
      <c r="D13" s="22">
        <v>25035</v>
      </c>
      <c r="E13" s="21">
        <v>50134</v>
      </c>
    </row>
    <row r="14" spans="1:6" x14ac:dyDescent="0.25">
      <c r="A14" s="10" t="s">
        <v>14</v>
      </c>
      <c r="B14" s="6">
        <v>45846</v>
      </c>
      <c r="C14" s="16">
        <v>24634</v>
      </c>
      <c r="D14" s="16">
        <v>24656</v>
      </c>
      <c r="E14" s="21">
        <v>49290</v>
      </c>
    </row>
    <row r="15" spans="1:6" x14ac:dyDescent="0.25">
      <c r="A15" s="10" t="s">
        <v>11</v>
      </c>
      <c r="B15" s="6">
        <v>45847</v>
      </c>
      <c r="C15" s="16">
        <v>26828</v>
      </c>
      <c r="D15" s="16">
        <v>26806</v>
      </c>
      <c r="E15" s="21">
        <v>53634</v>
      </c>
    </row>
    <row r="16" spans="1:6" x14ac:dyDescent="0.25">
      <c r="A16" s="10" t="s">
        <v>13</v>
      </c>
      <c r="B16" s="6">
        <v>45848</v>
      </c>
      <c r="C16" s="16">
        <v>26844</v>
      </c>
      <c r="D16" s="16">
        <v>26260</v>
      </c>
      <c r="E16" s="21">
        <v>53104</v>
      </c>
    </row>
    <row r="17" spans="1:6" x14ac:dyDescent="0.25">
      <c r="A17" s="10" t="s">
        <v>12</v>
      </c>
      <c r="B17" s="6">
        <v>45849</v>
      </c>
      <c r="C17" s="16">
        <v>28046</v>
      </c>
      <c r="D17" s="16">
        <v>27974</v>
      </c>
      <c r="E17" s="21">
        <v>56020</v>
      </c>
    </row>
    <row r="18" spans="1:6" x14ac:dyDescent="0.25">
      <c r="A18" s="10" t="s">
        <v>16</v>
      </c>
      <c r="B18" s="6">
        <v>45850</v>
      </c>
      <c r="C18" s="16">
        <v>27664</v>
      </c>
      <c r="D18" s="16">
        <v>26878</v>
      </c>
      <c r="E18" s="21">
        <v>54542</v>
      </c>
    </row>
    <row r="19" spans="1:6" x14ac:dyDescent="0.25">
      <c r="A19" s="10" t="s">
        <v>17</v>
      </c>
      <c r="B19" s="6">
        <v>45851</v>
      </c>
      <c r="C19" s="16">
        <v>23412</v>
      </c>
      <c r="D19" s="16">
        <v>22243</v>
      </c>
      <c r="E19" s="21">
        <v>45655</v>
      </c>
      <c r="F19" s="36"/>
    </row>
    <row r="20" spans="1:6" x14ac:dyDescent="0.25">
      <c r="A20" s="10" t="s">
        <v>10</v>
      </c>
      <c r="B20" s="6">
        <v>45852</v>
      </c>
      <c r="C20" s="11">
        <v>24789</v>
      </c>
      <c r="D20" s="12">
        <v>24412</v>
      </c>
      <c r="E20" s="21">
        <v>49201</v>
      </c>
    </row>
    <row r="21" spans="1:6" x14ac:dyDescent="0.25">
      <c r="A21" s="10" t="s">
        <v>14</v>
      </c>
      <c r="B21" s="6">
        <v>45853</v>
      </c>
      <c r="C21" s="25">
        <v>27025</v>
      </c>
      <c r="D21" s="25">
        <v>26815</v>
      </c>
      <c r="E21" s="21">
        <v>53840</v>
      </c>
    </row>
    <row r="22" spans="1:6" x14ac:dyDescent="0.25">
      <c r="A22" s="10" t="s">
        <v>11</v>
      </c>
      <c r="B22" s="6">
        <v>45854</v>
      </c>
      <c r="C22" s="16">
        <v>27610</v>
      </c>
      <c r="D22" s="16">
        <v>27134</v>
      </c>
      <c r="E22" s="21">
        <v>54744</v>
      </c>
    </row>
    <row r="23" spans="1:6" x14ac:dyDescent="0.25">
      <c r="A23" s="10" t="s">
        <v>13</v>
      </c>
      <c r="B23" s="6">
        <v>45855</v>
      </c>
      <c r="C23" s="22">
        <v>26998</v>
      </c>
      <c r="D23" s="22">
        <v>26770</v>
      </c>
      <c r="E23" s="21">
        <v>53768</v>
      </c>
    </row>
    <row r="24" spans="1:6" x14ac:dyDescent="0.25">
      <c r="A24" s="10" t="s">
        <v>12</v>
      </c>
      <c r="B24" s="6">
        <v>45856</v>
      </c>
      <c r="C24" s="26">
        <v>28650</v>
      </c>
      <c r="D24" s="26">
        <v>28370</v>
      </c>
      <c r="E24" s="21">
        <v>57020</v>
      </c>
    </row>
    <row r="25" spans="1:6" x14ac:dyDescent="0.25">
      <c r="A25" s="10" t="s">
        <v>16</v>
      </c>
      <c r="B25" s="6">
        <v>45857</v>
      </c>
      <c r="C25" s="16">
        <v>28588</v>
      </c>
      <c r="D25" s="26">
        <v>27500</v>
      </c>
      <c r="E25" s="21">
        <v>56088</v>
      </c>
    </row>
    <row r="26" spans="1:6" x14ac:dyDescent="0.25">
      <c r="A26" s="10" t="s">
        <v>17</v>
      </c>
      <c r="B26" s="6">
        <v>45858</v>
      </c>
      <c r="C26" s="22">
        <v>23464</v>
      </c>
      <c r="D26" s="22">
        <v>22441</v>
      </c>
      <c r="E26" s="21">
        <v>45905</v>
      </c>
    </row>
    <row r="27" spans="1:6" ht="13.8" x14ac:dyDescent="0.25">
      <c r="A27" s="10" t="s">
        <v>10</v>
      </c>
      <c r="B27" s="6">
        <v>45859</v>
      </c>
      <c r="C27" s="16">
        <v>28123</v>
      </c>
      <c r="D27" s="33">
        <v>27236</v>
      </c>
      <c r="E27" s="21">
        <v>55359</v>
      </c>
    </row>
    <row r="28" spans="1:6" x14ac:dyDescent="0.25">
      <c r="A28" s="10" t="s">
        <v>14</v>
      </c>
      <c r="B28" s="6">
        <v>45860</v>
      </c>
      <c r="C28" s="16">
        <v>29035</v>
      </c>
      <c r="D28" s="16">
        <v>28251</v>
      </c>
      <c r="E28" s="21">
        <v>57286</v>
      </c>
    </row>
    <row r="29" spans="1:6" x14ac:dyDescent="0.25">
      <c r="A29" s="10" t="s">
        <v>11</v>
      </c>
      <c r="B29" s="6">
        <v>45861</v>
      </c>
      <c r="C29" s="16">
        <v>28649</v>
      </c>
      <c r="D29" s="16">
        <v>28004</v>
      </c>
      <c r="E29" s="21">
        <v>56653</v>
      </c>
    </row>
    <row r="30" spans="1:6" x14ac:dyDescent="0.25">
      <c r="A30" s="10" t="s">
        <v>13</v>
      </c>
      <c r="B30" s="6">
        <v>45862</v>
      </c>
      <c r="C30" s="16">
        <v>29061</v>
      </c>
      <c r="D30" s="16">
        <v>28698</v>
      </c>
      <c r="E30" s="21">
        <v>57759</v>
      </c>
    </row>
    <row r="31" spans="1:6" x14ac:dyDescent="0.25">
      <c r="A31" s="10" t="s">
        <v>12</v>
      </c>
      <c r="B31" s="6">
        <v>45863</v>
      </c>
      <c r="C31" s="16">
        <v>26932</v>
      </c>
      <c r="D31" s="16">
        <v>26626</v>
      </c>
      <c r="E31" s="21">
        <v>53558</v>
      </c>
    </row>
    <row r="32" spans="1:6" x14ac:dyDescent="0.25">
      <c r="A32" s="10" t="s">
        <v>16</v>
      </c>
      <c r="B32" s="6">
        <v>45864</v>
      </c>
      <c r="C32" s="16">
        <v>30264</v>
      </c>
      <c r="D32" s="16">
        <v>29037</v>
      </c>
      <c r="E32" s="21">
        <v>59301</v>
      </c>
    </row>
    <row r="33" spans="1:5" x14ac:dyDescent="0.25">
      <c r="A33" s="10" t="s">
        <v>17</v>
      </c>
      <c r="B33" s="6">
        <v>45865</v>
      </c>
      <c r="C33" s="16">
        <v>21804</v>
      </c>
      <c r="D33" s="16">
        <v>21018</v>
      </c>
      <c r="E33" s="21">
        <v>42822</v>
      </c>
    </row>
    <row r="34" spans="1:5" x14ac:dyDescent="0.25">
      <c r="A34" s="10" t="s">
        <v>10</v>
      </c>
      <c r="B34" s="6">
        <v>45866</v>
      </c>
      <c r="C34" s="16">
        <v>28820</v>
      </c>
      <c r="D34" s="16">
        <v>28155</v>
      </c>
      <c r="E34" s="21">
        <v>56975</v>
      </c>
    </row>
    <row r="35" spans="1:5" x14ac:dyDescent="0.25">
      <c r="A35" s="10" t="s">
        <v>14</v>
      </c>
      <c r="B35" s="6">
        <v>45867</v>
      </c>
      <c r="C35" s="16">
        <v>27396</v>
      </c>
      <c r="D35" s="16">
        <v>26908</v>
      </c>
      <c r="E35" s="21">
        <v>54304</v>
      </c>
    </row>
    <row r="36" spans="1:5" x14ac:dyDescent="0.25">
      <c r="A36" s="10" t="s">
        <v>11</v>
      </c>
      <c r="B36" s="6">
        <v>45868</v>
      </c>
      <c r="C36" s="16">
        <v>27783</v>
      </c>
      <c r="D36" s="16">
        <v>27412</v>
      </c>
      <c r="E36" s="21">
        <v>55195</v>
      </c>
    </row>
    <row r="37" spans="1:5" x14ac:dyDescent="0.25">
      <c r="A37" s="10" t="s">
        <v>13</v>
      </c>
      <c r="B37" s="6">
        <v>45869</v>
      </c>
      <c r="C37" s="38">
        <v>22918</v>
      </c>
      <c r="D37" s="38">
        <v>21830</v>
      </c>
      <c r="E37" s="39">
        <v>44748</v>
      </c>
    </row>
    <row r="38" spans="1:5" ht="13.8" thickBot="1" x14ac:dyDescent="0.3">
      <c r="A38" s="53" t="s">
        <v>2</v>
      </c>
      <c r="B38" s="54"/>
      <c r="C38" s="17">
        <f>SUM(C7:C37)</f>
        <v>828697</v>
      </c>
      <c r="D38" s="17">
        <f>SUM(D7:D37)</f>
        <v>809453</v>
      </c>
      <c r="E38" s="17">
        <f>SUM(E7:E37)</f>
        <v>1637610</v>
      </c>
    </row>
    <row r="39" spans="1:5" ht="13.8" thickBot="1" x14ac:dyDescent="0.3">
      <c r="B39" s="3"/>
      <c r="C39" s="18"/>
      <c r="D39" s="18"/>
      <c r="E39" s="19"/>
    </row>
    <row r="40" spans="1:5" ht="13.5" customHeight="1" thickBot="1" x14ac:dyDescent="0.3">
      <c r="A40" s="43" t="s">
        <v>8</v>
      </c>
      <c r="B40" s="44"/>
      <c r="C40" s="44"/>
      <c r="D40" s="44"/>
      <c r="E40" s="20">
        <f>E38</f>
        <v>1637610</v>
      </c>
    </row>
  </sheetData>
  <mergeCells count="8">
    <mergeCell ref="A4:E4"/>
    <mergeCell ref="A40:D40"/>
    <mergeCell ref="A5:A6"/>
    <mergeCell ref="B5:B6"/>
    <mergeCell ref="C5:C6"/>
    <mergeCell ref="D5:D6"/>
    <mergeCell ref="E5:E6"/>
    <mergeCell ref="A38:B38"/>
  </mergeCells>
  <phoneticPr fontId="2" type="noConversion"/>
  <printOptions horizontalCentered="1"/>
  <pageMargins left="0.25" right="0.25" top="0.75" bottom="0.75" header="0.3" footer="0.3"/>
  <pageSetup orientation="portrait" useFirstPageNumber="1" horizontalDpi="4294967293" r:id="rId1"/>
  <headerFooter alignWithMargins="0">
    <oddFooter>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9A7FE-035E-4FEB-BE80-CC3B49D6439B}">
  <dimension ref="A2:F50"/>
  <sheetViews>
    <sheetView zoomScaleNormal="100" workbookViewId="0">
      <selection activeCell="A35" sqref="A35:A36"/>
    </sheetView>
  </sheetViews>
  <sheetFormatPr defaultColWidth="9.109375" defaultRowHeight="13.2" x14ac:dyDescent="0.25"/>
  <cols>
    <col min="1" max="1" width="8.33203125" style="1" customWidth="1"/>
    <col min="2" max="2" width="11.44140625" style="1" customWidth="1"/>
    <col min="3" max="4" width="13" style="1" customWidth="1"/>
    <col min="5" max="5" width="14" style="1" customWidth="1"/>
    <col min="6" max="6" width="23" style="29" customWidth="1"/>
    <col min="7" max="16384" width="9.109375" style="1"/>
  </cols>
  <sheetData>
    <row r="2" spans="1:6" x14ac:dyDescent="0.25">
      <c r="A2" s="60" t="s">
        <v>19</v>
      </c>
      <c r="B2" s="60"/>
      <c r="C2" s="60"/>
      <c r="D2" s="60"/>
      <c r="E2" s="60"/>
    </row>
    <row r="3" spans="1:6" ht="11.25" customHeight="1" x14ac:dyDescent="0.25">
      <c r="A3" s="47" t="s">
        <v>0</v>
      </c>
      <c r="B3" s="47" t="s">
        <v>1</v>
      </c>
      <c r="C3" s="49" t="s">
        <v>3</v>
      </c>
      <c r="D3" s="47" t="s">
        <v>4</v>
      </c>
      <c r="E3" s="57" t="s">
        <v>9</v>
      </c>
    </row>
    <row r="4" spans="1:6" x14ac:dyDescent="0.25">
      <c r="A4" s="47"/>
      <c r="B4" s="47"/>
      <c r="C4" s="49"/>
      <c r="D4" s="47"/>
      <c r="E4" s="57"/>
    </row>
    <row r="5" spans="1:6" ht="12" customHeight="1" x14ac:dyDescent="0.25">
      <c r="A5" s="10" t="s">
        <v>14</v>
      </c>
      <c r="B5" s="6">
        <v>45839</v>
      </c>
      <c r="C5" s="22">
        <v>24869</v>
      </c>
      <c r="D5" s="22">
        <v>24308</v>
      </c>
      <c r="E5" s="21">
        <f>SUM(C5:D5)</f>
        <v>49177</v>
      </c>
      <c r="F5" s="36"/>
    </row>
    <row r="6" spans="1:6" ht="12" customHeight="1" x14ac:dyDescent="0.25">
      <c r="A6" s="10" t="s">
        <v>11</v>
      </c>
      <c r="B6" s="6">
        <v>45840</v>
      </c>
      <c r="C6" s="23">
        <v>27061</v>
      </c>
      <c r="D6" s="23">
        <v>26588</v>
      </c>
      <c r="E6" s="21">
        <f t="shared" ref="E6:E27" si="0">SUM(C6:D6)</f>
        <v>53649</v>
      </c>
      <c r="F6" s="36"/>
    </row>
    <row r="7" spans="1:6" ht="12" customHeight="1" x14ac:dyDescent="0.25">
      <c r="A7" s="10" t="s">
        <v>13</v>
      </c>
      <c r="B7" s="6">
        <v>45841</v>
      </c>
      <c r="C7" s="23">
        <v>27881</v>
      </c>
      <c r="D7" s="23">
        <v>27135</v>
      </c>
      <c r="E7" s="21">
        <f t="shared" si="0"/>
        <v>55016</v>
      </c>
    </row>
    <row r="8" spans="1:6" ht="12" customHeight="1" x14ac:dyDescent="0.25">
      <c r="A8" s="34" t="s">
        <v>12</v>
      </c>
      <c r="B8" s="35">
        <v>45842</v>
      </c>
      <c r="C8" s="22">
        <v>24599</v>
      </c>
      <c r="D8" s="22">
        <v>23481</v>
      </c>
      <c r="E8" s="21">
        <f t="shared" si="0"/>
        <v>48080</v>
      </c>
      <c r="F8" s="29" t="s">
        <v>23</v>
      </c>
    </row>
    <row r="9" spans="1:6" ht="12" customHeight="1" x14ac:dyDescent="0.25">
      <c r="A9" s="10" t="s">
        <v>10</v>
      </c>
      <c r="B9" s="6">
        <v>45845</v>
      </c>
      <c r="C9" s="23">
        <v>25099</v>
      </c>
      <c r="D9" s="22">
        <v>25035</v>
      </c>
      <c r="E9" s="21">
        <f t="shared" si="0"/>
        <v>50134</v>
      </c>
    </row>
    <row r="10" spans="1:6" ht="12" customHeight="1" x14ac:dyDescent="0.25">
      <c r="A10" s="10" t="s">
        <v>14</v>
      </c>
      <c r="B10" s="6">
        <v>45846</v>
      </c>
      <c r="C10" s="22">
        <v>24634</v>
      </c>
      <c r="D10" s="22">
        <v>24656</v>
      </c>
      <c r="E10" s="21">
        <f t="shared" si="0"/>
        <v>49290</v>
      </c>
    </row>
    <row r="11" spans="1:6" ht="12" customHeight="1" x14ac:dyDescent="0.25">
      <c r="A11" s="10" t="s">
        <v>11</v>
      </c>
      <c r="B11" s="6">
        <v>45847</v>
      </c>
      <c r="C11" s="22">
        <v>26828</v>
      </c>
      <c r="D11" s="40">
        <v>26806</v>
      </c>
      <c r="E11" s="21">
        <f t="shared" si="0"/>
        <v>53634</v>
      </c>
    </row>
    <row r="12" spans="1:6" ht="12" customHeight="1" x14ac:dyDescent="0.25">
      <c r="A12" s="10" t="s">
        <v>13</v>
      </c>
      <c r="B12" s="6">
        <v>45848</v>
      </c>
      <c r="C12" s="23">
        <v>26844</v>
      </c>
      <c r="D12" s="40">
        <v>26260</v>
      </c>
      <c r="E12" s="21">
        <f t="shared" si="0"/>
        <v>53104</v>
      </c>
    </row>
    <row r="13" spans="1:6" ht="12" customHeight="1" x14ac:dyDescent="0.25">
      <c r="A13" s="10" t="s">
        <v>12</v>
      </c>
      <c r="B13" s="6">
        <v>45849</v>
      </c>
      <c r="C13" s="23">
        <v>28046</v>
      </c>
      <c r="D13" s="23">
        <v>27974</v>
      </c>
      <c r="E13" s="21">
        <f t="shared" si="0"/>
        <v>56020</v>
      </c>
    </row>
    <row r="14" spans="1:6" ht="12" customHeight="1" x14ac:dyDescent="0.25">
      <c r="A14" s="10" t="s">
        <v>10</v>
      </c>
      <c r="B14" s="6">
        <v>45852</v>
      </c>
      <c r="C14" s="22">
        <v>24789</v>
      </c>
      <c r="D14" s="22">
        <v>24412</v>
      </c>
      <c r="E14" s="21">
        <f t="shared" si="0"/>
        <v>49201</v>
      </c>
    </row>
    <row r="15" spans="1:6" ht="12" customHeight="1" x14ac:dyDescent="0.25">
      <c r="A15" s="10" t="s">
        <v>14</v>
      </c>
      <c r="B15" s="6">
        <v>45853</v>
      </c>
      <c r="C15" s="22">
        <v>27025</v>
      </c>
      <c r="D15" s="22">
        <v>26815</v>
      </c>
      <c r="E15" s="21">
        <f t="shared" si="0"/>
        <v>53840</v>
      </c>
    </row>
    <row r="16" spans="1:6" ht="12" customHeight="1" x14ac:dyDescent="0.25">
      <c r="A16" s="10" t="s">
        <v>11</v>
      </c>
      <c r="B16" s="6">
        <v>45854</v>
      </c>
      <c r="C16" s="22">
        <v>27610</v>
      </c>
      <c r="D16" s="23">
        <v>27134</v>
      </c>
      <c r="E16" s="21">
        <f t="shared" si="0"/>
        <v>54744</v>
      </c>
    </row>
    <row r="17" spans="1:6" ht="12" customHeight="1" x14ac:dyDescent="0.25">
      <c r="A17" s="10" t="s">
        <v>13</v>
      </c>
      <c r="B17" s="6">
        <v>45855</v>
      </c>
      <c r="C17" s="27">
        <v>26998</v>
      </c>
      <c r="D17" s="37">
        <v>26770</v>
      </c>
      <c r="E17" s="21">
        <f t="shared" si="0"/>
        <v>53768</v>
      </c>
    </row>
    <row r="18" spans="1:6" ht="12" customHeight="1" x14ac:dyDescent="0.25">
      <c r="A18" s="10" t="s">
        <v>12</v>
      </c>
      <c r="B18" s="6">
        <v>45856</v>
      </c>
      <c r="C18" s="27">
        <v>28650</v>
      </c>
      <c r="D18" s="37">
        <v>28370</v>
      </c>
      <c r="E18" s="21">
        <f t="shared" si="0"/>
        <v>57020</v>
      </c>
    </row>
    <row r="19" spans="1:6" ht="12" customHeight="1" x14ac:dyDescent="0.25">
      <c r="A19" s="10" t="s">
        <v>10</v>
      </c>
      <c r="B19" s="6">
        <v>45859</v>
      </c>
      <c r="C19" s="22">
        <v>28123</v>
      </c>
      <c r="D19" s="22">
        <v>27236</v>
      </c>
      <c r="E19" s="21">
        <f t="shared" si="0"/>
        <v>55359</v>
      </c>
    </row>
    <row r="20" spans="1:6" ht="12" customHeight="1" x14ac:dyDescent="0.25">
      <c r="A20" s="10" t="s">
        <v>14</v>
      </c>
      <c r="B20" s="6">
        <v>45860</v>
      </c>
      <c r="C20" s="22">
        <v>29035</v>
      </c>
      <c r="D20" s="22">
        <v>28251</v>
      </c>
      <c r="E20" s="21">
        <f t="shared" si="0"/>
        <v>57286</v>
      </c>
    </row>
    <row r="21" spans="1:6" ht="12" customHeight="1" x14ac:dyDescent="0.25">
      <c r="A21" s="10" t="s">
        <v>11</v>
      </c>
      <c r="B21" s="6">
        <v>45861</v>
      </c>
      <c r="C21" s="22">
        <v>28649</v>
      </c>
      <c r="D21" s="22">
        <v>28004</v>
      </c>
      <c r="E21" s="21">
        <f t="shared" si="0"/>
        <v>56653</v>
      </c>
    </row>
    <row r="22" spans="1:6" ht="12" customHeight="1" x14ac:dyDescent="0.25">
      <c r="A22" s="10" t="s">
        <v>13</v>
      </c>
      <c r="B22" s="6">
        <v>45862</v>
      </c>
      <c r="C22" s="24">
        <v>29061</v>
      </c>
      <c r="D22" s="22">
        <v>28698</v>
      </c>
      <c r="E22" s="21">
        <f t="shared" si="0"/>
        <v>57759</v>
      </c>
    </row>
    <row r="23" spans="1:6" ht="12" customHeight="1" x14ac:dyDescent="0.25">
      <c r="A23" s="10" t="s">
        <v>12</v>
      </c>
      <c r="B23" s="6">
        <v>45863</v>
      </c>
      <c r="C23" s="30">
        <v>26932</v>
      </c>
      <c r="D23" s="22">
        <v>26626</v>
      </c>
      <c r="E23" s="21">
        <f t="shared" si="0"/>
        <v>53558</v>
      </c>
    </row>
    <row r="24" spans="1:6" ht="12" customHeight="1" x14ac:dyDescent="0.25">
      <c r="A24" s="10" t="s">
        <v>10</v>
      </c>
      <c r="B24" s="6">
        <v>45866</v>
      </c>
      <c r="C24" s="30">
        <v>28820</v>
      </c>
      <c r="D24" s="31">
        <v>28155</v>
      </c>
      <c r="E24" s="21">
        <f t="shared" si="0"/>
        <v>56975</v>
      </c>
    </row>
    <row r="25" spans="1:6" ht="12" customHeight="1" x14ac:dyDescent="0.25">
      <c r="A25" s="10" t="s">
        <v>14</v>
      </c>
      <c r="B25" s="6">
        <v>45867</v>
      </c>
      <c r="C25" s="30">
        <v>27396</v>
      </c>
      <c r="D25" s="31">
        <v>26908</v>
      </c>
      <c r="E25" s="21">
        <f t="shared" si="0"/>
        <v>54304</v>
      </c>
    </row>
    <row r="26" spans="1:6" ht="12" customHeight="1" x14ac:dyDescent="0.25">
      <c r="A26" s="10" t="s">
        <v>11</v>
      </c>
      <c r="B26" s="6">
        <v>45868</v>
      </c>
      <c r="C26" s="16">
        <v>27783</v>
      </c>
      <c r="D26" s="16">
        <v>27412</v>
      </c>
      <c r="E26" s="21">
        <f t="shared" si="0"/>
        <v>55195</v>
      </c>
    </row>
    <row r="27" spans="1:6" ht="12" customHeight="1" x14ac:dyDescent="0.25">
      <c r="A27" s="10" t="s">
        <v>13</v>
      </c>
      <c r="B27" s="6">
        <v>45869</v>
      </c>
      <c r="C27" s="16">
        <v>22918</v>
      </c>
      <c r="D27" s="16">
        <v>21830</v>
      </c>
      <c r="E27" s="21">
        <f t="shared" si="0"/>
        <v>44748</v>
      </c>
    </row>
    <row r="28" spans="1:6" ht="12" customHeight="1" x14ac:dyDescent="0.25">
      <c r="A28" s="58" t="s">
        <v>2</v>
      </c>
      <c r="B28" s="59"/>
      <c r="C28" s="13">
        <f>SUM(C5:C27)</f>
        <v>619650</v>
      </c>
      <c r="D28" s="13">
        <f>SUM(D5:D27)</f>
        <v>608864</v>
      </c>
      <c r="E28" s="13">
        <f>SUM(E5:E27)</f>
        <v>1228514</v>
      </c>
    </row>
    <row r="29" spans="1:6" ht="12" customHeight="1" x14ac:dyDescent="0.25">
      <c r="C29" s="4"/>
      <c r="D29" s="4"/>
      <c r="E29" s="4"/>
    </row>
    <row r="30" spans="1:6" ht="12" customHeight="1" x14ac:dyDescent="0.25">
      <c r="A30" s="56" t="s">
        <v>20</v>
      </c>
      <c r="B30" s="56"/>
      <c r="C30" s="56"/>
      <c r="D30" s="56"/>
      <c r="E30" s="8">
        <f>E28</f>
        <v>1228514</v>
      </c>
      <c r="F30" s="32"/>
    </row>
    <row r="31" spans="1:6" ht="12" customHeight="1" x14ac:dyDescent="0.25">
      <c r="A31" s="56" t="s">
        <v>7</v>
      </c>
      <c r="B31" s="56"/>
      <c r="C31" s="56"/>
      <c r="D31" s="56"/>
      <c r="E31" s="8">
        <f>AVERAGE(E5:E27)</f>
        <v>53413.65217391304</v>
      </c>
    </row>
    <row r="32" spans="1:6" ht="12" customHeight="1" x14ac:dyDescent="0.25">
      <c r="A32" s="61"/>
      <c r="B32" s="61"/>
      <c r="C32" s="61"/>
      <c r="D32" s="61"/>
      <c r="E32" s="62"/>
    </row>
    <row r="33" spans="1:6" ht="12" customHeight="1" x14ac:dyDescent="0.25"/>
    <row r="34" spans="1:6" ht="12" customHeight="1" x14ac:dyDescent="0.25">
      <c r="A34" s="60" t="s">
        <v>21</v>
      </c>
      <c r="B34" s="60"/>
      <c r="C34" s="60"/>
      <c r="D34" s="60"/>
      <c r="E34" s="60"/>
    </row>
    <row r="35" spans="1:6" ht="12" customHeight="1" x14ac:dyDescent="0.25">
      <c r="A35" s="47" t="s">
        <v>0</v>
      </c>
      <c r="B35" s="47" t="s">
        <v>1</v>
      </c>
      <c r="C35" s="49" t="s">
        <v>3</v>
      </c>
      <c r="D35" s="49" t="s">
        <v>4</v>
      </c>
      <c r="E35" s="57" t="s">
        <v>9</v>
      </c>
    </row>
    <row r="36" spans="1:6" ht="12" customHeight="1" x14ac:dyDescent="0.25">
      <c r="A36" s="47"/>
      <c r="B36" s="47"/>
      <c r="C36" s="49"/>
      <c r="D36" s="49"/>
      <c r="E36" s="57"/>
    </row>
    <row r="37" spans="1:6" ht="12" customHeight="1" x14ac:dyDescent="0.25">
      <c r="A37" s="10" t="str">
        <f t="shared" ref="A37:A44" si="1">CHOOSE(WEEKDAY(B37),"SUN","MON","TUES","WED","THU","FRI","SAT")</f>
        <v>SAT</v>
      </c>
      <c r="B37" s="6">
        <v>45843</v>
      </c>
      <c r="C37" s="27">
        <v>29430</v>
      </c>
      <c r="D37" s="27">
        <v>28384</v>
      </c>
      <c r="E37" s="28">
        <f>C37+D37</f>
        <v>57814</v>
      </c>
      <c r="F37" s="36"/>
    </row>
    <row r="38" spans="1:6" ht="12" customHeight="1" x14ac:dyDescent="0.25">
      <c r="A38" s="10" t="str">
        <f t="shared" si="1"/>
        <v>SUN</v>
      </c>
      <c r="B38" s="6">
        <v>45844</v>
      </c>
      <c r="C38" s="22">
        <v>23881</v>
      </c>
      <c r="D38" s="22">
        <v>23088</v>
      </c>
      <c r="E38" s="28">
        <f t="shared" ref="E38:E43" si="2">C38+D38</f>
        <v>46969</v>
      </c>
    </row>
    <row r="39" spans="1:6" ht="12" customHeight="1" x14ac:dyDescent="0.25">
      <c r="A39" s="10" t="str">
        <f t="shared" si="1"/>
        <v>SAT</v>
      </c>
      <c r="B39" s="6">
        <v>45850</v>
      </c>
      <c r="C39" s="22">
        <v>27664</v>
      </c>
      <c r="D39" s="22">
        <v>26878</v>
      </c>
      <c r="E39" s="28">
        <f t="shared" si="2"/>
        <v>54542</v>
      </c>
    </row>
    <row r="40" spans="1:6" ht="12" customHeight="1" x14ac:dyDescent="0.25">
      <c r="A40" s="10" t="str">
        <f t="shared" si="1"/>
        <v>SUN</v>
      </c>
      <c r="B40" s="6">
        <v>45851</v>
      </c>
      <c r="C40" s="22">
        <v>23412</v>
      </c>
      <c r="D40" s="22">
        <v>22243</v>
      </c>
      <c r="E40" s="28">
        <f t="shared" si="2"/>
        <v>45655</v>
      </c>
    </row>
    <row r="41" spans="1:6" ht="12" customHeight="1" x14ac:dyDescent="0.25">
      <c r="A41" s="10" t="str">
        <f t="shared" si="1"/>
        <v>SAT</v>
      </c>
      <c r="B41" s="6">
        <v>45857</v>
      </c>
      <c r="C41" s="22">
        <v>28588</v>
      </c>
      <c r="D41" s="22">
        <v>27500</v>
      </c>
      <c r="E41" s="28">
        <f t="shared" si="2"/>
        <v>56088</v>
      </c>
    </row>
    <row r="42" spans="1:6" ht="12" customHeight="1" x14ac:dyDescent="0.25">
      <c r="A42" s="10" t="str">
        <f t="shared" si="1"/>
        <v>SUN</v>
      </c>
      <c r="B42" s="6">
        <v>45858</v>
      </c>
      <c r="C42" s="22">
        <v>23464</v>
      </c>
      <c r="D42" s="22">
        <v>22441</v>
      </c>
      <c r="E42" s="28">
        <f t="shared" si="2"/>
        <v>45905</v>
      </c>
    </row>
    <row r="43" spans="1:6" ht="12" customHeight="1" x14ac:dyDescent="0.25">
      <c r="A43" s="10" t="str">
        <f t="shared" si="1"/>
        <v>SAT</v>
      </c>
      <c r="B43" s="6">
        <v>45864</v>
      </c>
      <c r="C43" s="22">
        <v>30264</v>
      </c>
      <c r="D43" s="22">
        <v>29037</v>
      </c>
      <c r="E43" s="28">
        <f t="shared" si="2"/>
        <v>59301</v>
      </c>
    </row>
    <row r="44" spans="1:6" ht="12" customHeight="1" x14ac:dyDescent="0.25">
      <c r="A44" s="10" t="str">
        <f t="shared" si="1"/>
        <v>SUN</v>
      </c>
      <c r="B44" s="6">
        <v>45865</v>
      </c>
      <c r="C44" s="22">
        <v>21804</v>
      </c>
      <c r="D44" s="22">
        <v>21018</v>
      </c>
      <c r="E44" s="28">
        <f>C44+D44</f>
        <v>42822</v>
      </c>
    </row>
    <row r="45" spans="1:6" ht="12" customHeight="1" x14ac:dyDescent="0.25">
      <c r="A45" s="55" t="s">
        <v>2</v>
      </c>
      <c r="B45" s="55"/>
      <c r="C45" s="7">
        <f>SUM(C37:C44)</f>
        <v>208507</v>
      </c>
      <c r="D45" s="7">
        <f>SUM(D37:D44)</f>
        <v>200589</v>
      </c>
      <c r="E45" s="7">
        <f>SUM(E37:E44)</f>
        <v>409096</v>
      </c>
    </row>
    <row r="46" spans="1:6" ht="12" customHeight="1" x14ac:dyDescent="0.25">
      <c r="C46" s="4" t="s">
        <v>15</v>
      </c>
      <c r="D46" s="4"/>
      <c r="E46" s="4"/>
    </row>
    <row r="47" spans="1:6" ht="12" customHeight="1" x14ac:dyDescent="0.25">
      <c r="A47" s="56" t="s">
        <v>22</v>
      </c>
      <c r="B47" s="56"/>
      <c r="C47" s="56"/>
      <c r="D47" s="56"/>
      <c r="E47" s="9">
        <f>E45</f>
        <v>409096</v>
      </c>
    </row>
    <row r="48" spans="1:6" ht="12" customHeight="1" x14ac:dyDescent="0.25">
      <c r="A48" s="5"/>
      <c r="B48" s="5"/>
      <c r="C48" s="5"/>
      <c r="D48" s="5"/>
      <c r="E48" s="5"/>
    </row>
    <row r="49" spans="1:5" ht="12" customHeight="1" x14ac:dyDescent="0.25">
      <c r="A49" s="56" t="s">
        <v>5</v>
      </c>
      <c r="B49" s="56"/>
      <c r="C49" s="56"/>
      <c r="D49" s="56"/>
      <c r="E49" s="9">
        <f xml:space="preserve"> AVERAGE(E37,E39,E41,E43)</f>
        <v>56936.25</v>
      </c>
    </row>
    <row r="50" spans="1:5" ht="12" customHeight="1" x14ac:dyDescent="0.25">
      <c r="A50" s="56" t="s">
        <v>6</v>
      </c>
      <c r="B50" s="56"/>
      <c r="C50" s="56"/>
      <c r="D50" s="56"/>
      <c r="E50" s="9">
        <f xml:space="preserve"> AVERAGE(E38,E40,E42, E44)</f>
        <v>45337.75</v>
      </c>
    </row>
  </sheetData>
  <mergeCells count="19">
    <mergeCell ref="A2:E2"/>
    <mergeCell ref="A3:A4"/>
    <mergeCell ref="B3:B4"/>
    <mergeCell ref="C3:C4"/>
    <mergeCell ref="D3:D4"/>
    <mergeCell ref="E3:E4"/>
    <mergeCell ref="A28:B28"/>
    <mergeCell ref="A30:D30"/>
    <mergeCell ref="A31:D31"/>
    <mergeCell ref="A34:E34"/>
    <mergeCell ref="A35:A36"/>
    <mergeCell ref="B35:B36"/>
    <mergeCell ref="C35:C36"/>
    <mergeCell ref="D35:D36"/>
    <mergeCell ref="A45:B45"/>
    <mergeCell ref="A47:D47"/>
    <mergeCell ref="E35:E36"/>
    <mergeCell ref="A49:D49"/>
    <mergeCell ref="A50:D50"/>
  </mergeCells>
  <phoneticPr fontId="8" type="noConversion"/>
  <printOptions horizontalCentered="1"/>
  <pageMargins left="0.75" right="0.75" top="1" bottom="1" header="0.5" footer="0.5"/>
  <pageSetup orientation="portrait" r:id="rId1"/>
  <headerFooter alignWithMargins="0">
    <oddFooter>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E8379B00F7343AA85C9CCF3ABC79C" ma:contentTypeVersion="10" ma:contentTypeDescription="Create a new document." ma:contentTypeScope="" ma:versionID="d5e8cfcf6eb2dd5d2db3c0c620d248eb">
  <xsd:schema xmlns:xsd="http://www.w3.org/2001/XMLSchema" xmlns:xs="http://www.w3.org/2001/XMLSchema" xmlns:p="http://schemas.microsoft.com/office/2006/metadata/properties" xmlns:ns1="http://schemas.microsoft.com/sharepoint/v3" xmlns:ns2="670d3029-f9df-404e-98fc-7004dcdec636" xmlns:ns3="5f7ac3ca-9ce0-489a-bc70-1e3f2f642f01" targetNamespace="http://schemas.microsoft.com/office/2006/metadata/properties" ma:root="true" ma:fieldsID="d03289d0b41cd5157412eb94182a3401" ns1:_="" ns2:_="" ns3:_="">
    <xsd:import namespace="http://schemas.microsoft.com/sharepoint/v3"/>
    <xsd:import namespace="670d3029-f9df-404e-98fc-7004dcdec636"/>
    <xsd:import namespace="5f7ac3ca-9ce0-489a-bc70-1e3f2f642f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0d3029-f9df-404e-98fc-7004dcdec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7ac3ca-9ce0-489a-bc70-1e3f2f642f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8E7619-441F-43FF-991F-325D05ED8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70d3029-f9df-404e-98fc-7004dcdec636"/>
    <ds:schemaRef ds:uri="5f7ac3ca-9ce0-489a-bc70-1e3f2f642f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229ED3-04AD-4E8C-9ABE-0A54637A21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0506D54-71C0-4CE6-A8F3-72DBBF70CF1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TOTALS</vt:lpstr>
      <vt:lpstr>Weekday-Weekend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tabbott</dc:creator>
  <cp:lastModifiedBy>Lucy Santana</cp:lastModifiedBy>
  <cp:lastPrinted>2013-06-05T11:40:15Z</cp:lastPrinted>
  <dcterms:created xsi:type="dcterms:W3CDTF">2006-12-14T13:28:56Z</dcterms:created>
  <dcterms:modified xsi:type="dcterms:W3CDTF">2026-04-09T23:43:32Z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0x01010056AE8379B00F7343AA85C9CCF3ABC79C</vt:lpwstr>
  </property>
</Properties>
</file>