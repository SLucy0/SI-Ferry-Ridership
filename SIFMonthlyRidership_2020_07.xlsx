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8BCE41BB-B0BD-45D1-84B5-332BFF3FF5DC}" xr6:coauthVersionLast="47" xr6:coauthVersionMax="47" xr10:uidLastSave="{AA489305-A10E-4BFD-B25C-1C8C6A7ECD38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35" i="1" l="1"/>
  <c r="C35" i="1"/>
  <c r="E24" i="2"/>
  <c r="A24" i="2"/>
  <c r="E34" i="1" l="1"/>
  <c r="A34" i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E26" i="2"/>
  <c r="E27" i="2"/>
  <c r="E28" i="2"/>
  <c r="E37" i="2"/>
  <c r="E38" i="2"/>
  <c r="E39" i="2"/>
  <c r="E40" i="2"/>
  <c r="E41" i="2"/>
  <c r="E42" i="2"/>
  <c r="E43" i="2"/>
  <c r="E36" i="2"/>
  <c r="E44" i="2" s="1"/>
  <c r="D44" i="2"/>
  <c r="C44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5" i="2"/>
  <c r="E6" i="2"/>
  <c r="C29" i="2"/>
  <c r="E32" i="2" l="1"/>
  <c r="E29" i="2"/>
  <c r="E31" i="2" s="1"/>
  <c r="E35" i="1"/>
  <c r="E46" i="2"/>
  <c r="E47" i="2"/>
  <c r="E39" i="1"/>
  <c r="A7" i="2"/>
  <c r="A8" i="2"/>
  <c r="A9" i="2"/>
  <c r="A10" i="2"/>
  <c r="A36" i="2"/>
  <c r="A37" i="2"/>
  <c r="A11" i="2"/>
  <c r="A12" i="2"/>
  <c r="A13" i="2"/>
  <c r="A14" i="2"/>
  <c r="A15" i="2"/>
  <c r="A38" i="2"/>
  <c r="A39" i="2"/>
  <c r="A16" i="2"/>
  <c r="A17" i="2"/>
  <c r="A18" i="2"/>
  <c r="A19" i="2"/>
  <c r="A20" i="2"/>
  <c r="A40" i="2"/>
  <c r="A41" i="2"/>
  <c r="A21" i="2"/>
  <c r="A22" i="2"/>
  <c r="A23" i="2"/>
  <c r="A25" i="2"/>
  <c r="A26" i="2"/>
  <c r="A42" i="2"/>
  <c r="A43" i="2"/>
  <c r="A27" i="2"/>
  <c r="A28" i="2"/>
  <c r="A6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4" i="1"/>
</calcChain>
</file>

<file path=xl/sharedStrings.xml><?xml version="1.0" encoding="utf-8"?>
<sst xmlns="http://schemas.openxmlformats.org/spreadsheetml/2006/main" count="25" uniqueCount="14">
  <si>
    <t>DAY</t>
  </si>
  <si>
    <t>DATE</t>
  </si>
  <si>
    <t>WHT</t>
  </si>
  <si>
    <t>STG</t>
  </si>
  <si>
    <t>COMBINED TOTAL</t>
  </si>
  <si>
    <t>TOTAL</t>
  </si>
  <si>
    <t>Average Passengers/Weekday</t>
  </si>
  <si>
    <t>Average Saturday Passengers</t>
  </si>
  <si>
    <t>Average Sunday Passengers</t>
  </si>
  <si>
    <t>TOTALS:</t>
  </si>
  <si>
    <t>TOTAL RIDERHIP</t>
  </si>
  <si>
    <t>JULY 2020 WEEKDAY TOTALS</t>
  </si>
  <si>
    <t>JULY 2020 WEEKEND TOTALS</t>
  </si>
  <si>
    <t>Total Weekday Pax Count 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</si>
</sst>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1" fontId="2" fillId="4" borderId="8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7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A3" sqref="A3"/>
    </sheetView>
  </sheetViews>
  <sheetFormatPr defaultColWidth="9.109375" defaultRowHeight="13.8" x14ac:dyDescent="0.25"/>
  <cols>
    <col min="1" max="5" width="12.6640625" style="3" customWidth="1"/>
    <col min="6" max="16384" width="9.109375" style="1"/>
  </cols>
  <sheetData>
    <row r="1" spans="1:5" ht="14.4" thickBot="1" x14ac:dyDescent="0.3"/>
    <row r="2" spans="1:5" x14ac:dyDescent="0.25">
      <c r="A2" s="26">
        <v>44013</v>
      </c>
      <c r="B2" s="27"/>
      <c r="C2" s="27"/>
      <c r="D2" s="27"/>
      <c r="E2" s="28"/>
    </row>
    <row r="3" spans="1:5" ht="41.25" customHeight="1" x14ac:dyDescent="0.25">
      <c r="A3" s="13" t="s">
        <v>0</v>
      </c>
      <c r="B3" s="5" t="s">
        <v>1</v>
      </c>
      <c r="C3" s="5" t="s">
        <v>2</v>
      </c>
      <c r="D3" s="5" t="s">
        <v>3</v>
      </c>
      <c r="E3" s="14" t="s">
        <v>4</v>
      </c>
    </row>
    <row r="4" spans="1:5" x14ac:dyDescent="0.25">
      <c r="A4" s="19" t="str">
        <f>CHOOSE(WEEKDAY(B4),"SUN","MON","TUE","WED","THU","FRI","SAT")</f>
        <v>WED</v>
      </c>
      <c r="B4" s="6">
        <v>44013</v>
      </c>
      <c r="C4" s="8">
        <v>9124</v>
      </c>
      <c r="D4" s="8">
        <v>8466</v>
      </c>
      <c r="E4" s="20">
        <f>SUM(C4:D4)</f>
        <v>17590</v>
      </c>
    </row>
    <row r="5" spans="1:5" x14ac:dyDescent="0.25">
      <c r="A5" s="19" t="str">
        <f t="shared" ref="A5:A34" si="0">CHOOSE(WEEKDAY(B5),"SUN","MON","TUE","WED","THU","FRI","SAT")</f>
        <v>THU</v>
      </c>
      <c r="B5" s="6">
        <v>44014</v>
      </c>
      <c r="C5" s="8">
        <v>9744</v>
      </c>
      <c r="D5" s="8">
        <v>9306</v>
      </c>
      <c r="E5" s="20">
        <f t="shared" ref="E5:E34" si="1">SUM(C5:D5)</f>
        <v>19050</v>
      </c>
    </row>
    <row r="6" spans="1:5" x14ac:dyDescent="0.25">
      <c r="A6" s="19" t="str">
        <f t="shared" si="0"/>
        <v>FRI</v>
      </c>
      <c r="B6" s="6">
        <v>44015</v>
      </c>
      <c r="C6" s="8">
        <v>7736</v>
      </c>
      <c r="D6" s="8">
        <v>7177</v>
      </c>
      <c r="E6" s="20">
        <f t="shared" si="1"/>
        <v>14913</v>
      </c>
    </row>
    <row r="7" spans="1:5" x14ac:dyDescent="0.25">
      <c r="A7" s="19" t="str">
        <f t="shared" si="0"/>
        <v>SAT</v>
      </c>
      <c r="B7" s="6">
        <v>44016</v>
      </c>
      <c r="C7" s="8">
        <v>7901</v>
      </c>
      <c r="D7" s="8">
        <v>7140</v>
      </c>
      <c r="E7" s="20">
        <f t="shared" si="1"/>
        <v>15041</v>
      </c>
    </row>
    <row r="8" spans="1:5" x14ac:dyDescent="0.25">
      <c r="A8" s="19" t="str">
        <f t="shared" si="0"/>
        <v>SUN</v>
      </c>
      <c r="B8" s="6">
        <v>44017</v>
      </c>
      <c r="C8" s="8">
        <v>6614</v>
      </c>
      <c r="D8" s="8">
        <v>6010</v>
      </c>
      <c r="E8" s="20">
        <f t="shared" si="1"/>
        <v>12624</v>
      </c>
    </row>
    <row r="9" spans="1:5" x14ac:dyDescent="0.25">
      <c r="A9" s="19" t="str">
        <f t="shared" si="0"/>
        <v>MON</v>
      </c>
      <c r="B9" s="6">
        <v>44018</v>
      </c>
      <c r="C9" s="8">
        <v>9041</v>
      </c>
      <c r="D9" s="8">
        <v>8548</v>
      </c>
      <c r="E9" s="20">
        <f t="shared" si="1"/>
        <v>17589</v>
      </c>
    </row>
    <row r="10" spans="1:5" x14ac:dyDescent="0.25">
      <c r="A10" s="19" t="str">
        <f t="shared" si="0"/>
        <v>TUE</v>
      </c>
      <c r="B10" s="6">
        <v>44019</v>
      </c>
      <c r="C10" s="8">
        <v>9729</v>
      </c>
      <c r="D10" s="8">
        <v>9106</v>
      </c>
      <c r="E10" s="20">
        <f t="shared" si="1"/>
        <v>18835</v>
      </c>
    </row>
    <row r="11" spans="1:5" x14ac:dyDescent="0.25">
      <c r="A11" s="19" t="str">
        <f t="shared" si="0"/>
        <v>WED</v>
      </c>
      <c r="B11" s="6">
        <v>44020</v>
      </c>
      <c r="C11" s="8">
        <v>9612</v>
      </c>
      <c r="D11" s="8">
        <v>9019</v>
      </c>
      <c r="E11" s="20">
        <f t="shared" si="1"/>
        <v>18631</v>
      </c>
    </row>
    <row r="12" spans="1:5" x14ac:dyDescent="0.25">
      <c r="A12" s="19" t="str">
        <f t="shared" si="0"/>
        <v>THU</v>
      </c>
      <c r="B12" s="6">
        <v>44021</v>
      </c>
      <c r="C12" s="8">
        <v>10237</v>
      </c>
      <c r="D12" s="8">
        <v>9825</v>
      </c>
      <c r="E12" s="20">
        <f t="shared" si="1"/>
        <v>20062</v>
      </c>
    </row>
    <row r="13" spans="1:5" x14ac:dyDescent="0.25">
      <c r="A13" s="19" t="str">
        <f t="shared" si="0"/>
        <v>FRI</v>
      </c>
      <c r="B13" s="6">
        <v>44022</v>
      </c>
      <c r="C13" s="8">
        <v>8008</v>
      </c>
      <c r="D13" s="8">
        <v>7476</v>
      </c>
      <c r="E13" s="20">
        <f t="shared" si="1"/>
        <v>15484</v>
      </c>
    </row>
    <row r="14" spans="1:5" x14ac:dyDescent="0.25">
      <c r="A14" s="19" t="str">
        <f t="shared" si="0"/>
        <v>SAT</v>
      </c>
      <c r="B14" s="6">
        <v>44023</v>
      </c>
      <c r="C14" s="8">
        <v>6728</v>
      </c>
      <c r="D14" s="8">
        <v>6237</v>
      </c>
      <c r="E14" s="20">
        <f t="shared" si="1"/>
        <v>12965</v>
      </c>
    </row>
    <row r="15" spans="1:5" x14ac:dyDescent="0.25">
      <c r="A15" s="19" t="str">
        <f t="shared" si="0"/>
        <v>SUN</v>
      </c>
      <c r="B15" s="6">
        <v>44024</v>
      </c>
      <c r="C15" s="8">
        <v>7523</v>
      </c>
      <c r="D15" s="8">
        <v>6876</v>
      </c>
      <c r="E15" s="20">
        <f t="shared" si="1"/>
        <v>14399</v>
      </c>
    </row>
    <row r="16" spans="1:5" x14ac:dyDescent="0.25">
      <c r="A16" s="19" t="str">
        <f t="shared" si="0"/>
        <v>MON</v>
      </c>
      <c r="B16" s="6">
        <v>44025</v>
      </c>
      <c r="C16" s="8">
        <v>9743</v>
      </c>
      <c r="D16" s="8">
        <v>9331</v>
      </c>
      <c r="E16" s="20">
        <f t="shared" si="1"/>
        <v>19074</v>
      </c>
    </row>
    <row r="17" spans="1:5" x14ac:dyDescent="0.25">
      <c r="A17" s="19" t="str">
        <f t="shared" si="0"/>
        <v>TUE</v>
      </c>
      <c r="B17" s="6">
        <v>44026</v>
      </c>
      <c r="C17" s="8">
        <v>10265</v>
      </c>
      <c r="D17" s="8">
        <v>9822</v>
      </c>
      <c r="E17" s="20">
        <f t="shared" si="1"/>
        <v>20087</v>
      </c>
    </row>
    <row r="18" spans="1:5" x14ac:dyDescent="0.25">
      <c r="A18" s="19" t="str">
        <f t="shared" si="0"/>
        <v>WED</v>
      </c>
      <c r="B18" s="6">
        <v>44027</v>
      </c>
      <c r="C18" s="8">
        <v>9962</v>
      </c>
      <c r="D18" s="8">
        <v>9375</v>
      </c>
      <c r="E18" s="20">
        <f t="shared" si="1"/>
        <v>19337</v>
      </c>
    </row>
    <row r="19" spans="1:5" x14ac:dyDescent="0.25">
      <c r="A19" s="19" t="str">
        <f t="shared" si="0"/>
        <v>THU</v>
      </c>
      <c r="B19" s="6">
        <v>44028</v>
      </c>
      <c r="C19" s="8">
        <v>10486</v>
      </c>
      <c r="D19" s="8">
        <v>9925</v>
      </c>
      <c r="E19" s="20">
        <f t="shared" si="1"/>
        <v>20411</v>
      </c>
    </row>
    <row r="20" spans="1:5" x14ac:dyDescent="0.25">
      <c r="A20" s="19" t="str">
        <f t="shared" si="0"/>
        <v>FRI</v>
      </c>
      <c r="B20" s="6">
        <v>44029</v>
      </c>
      <c r="C20" s="8">
        <v>9822</v>
      </c>
      <c r="D20" s="8">
        <v>9069</v>
      </c>
      <c r="E20" s="20">
        <f t="shared" si="1"/>
        <v>18891</v>
      </c>
    </row>
    <row r="21" spans="1:5" x14ac:dyDescent="0.25">
      <c r="A21" s="19" t="str">
        <f t="shared" si="0"/>
        <v>SAT</v>
      </c>
      <c r="B21" s="6">
        <v>44030</v>
      </c>
      <c r="C21" s="8">
        <v>8209</v>
      </c>
      <c r="D21" s="8">
        <v>7721</v>
      </c>
      <c r="E21" s="20">
        <f t="shared" si="1"/>
        <v>15930</v>
      </c>
    </row>
    <row r="22" spans="1:5" x14ac:dyDescent="0.25">
      <c r="A22" s="19" t="str">
        <f t="shared" si="0"/>
        <v>SUN</v>
      </c>
      <c r="B22" s="6">
        <v>44031</v>
      </c>
      <c r="C22" s="8">
        <v>6521</v>
      </c>
      <c r="D22" s="8">
        <v>5935</v>
      </c>
      <c r="E22" s="20">
        <f t="shared" si="1"/>
        <v>12456</v>
      </c>
    </row>
    <row r="23" spans="1:5" x14ac:dyDescent="0.25">
      <c r="A23" s="19" t="str">
        <f t="shared" si="0"/>
        <v>MON</v>
      </c>
      <c r="B23" s="6">
        <v>44032</v>
      </c>
      <c r="C23" s="8">
        <v>9319</v>
      </c>
      <c r="D23" s="8">
        <v>8916</v>
      </c>
      <c r="E23" s="20">
        <f t="shared" si="1"/>
        <v>18235</v>
      </c>
    </row>
    <row r="24" spans="1:5" x14ac:dyDescent="0.25">
      <c r="A24" s="19" t="str">
        <f t="shared" si="0"/>
        <v>TUE</v>
      </c>
      <c r="B24" s="6">
        <v>44033</v>
      </c>
      <c r="C24" s="8">
        <v>10264</v>
      </c>
      <c r="D24" s="8">
        <v>9737</v>
      </c>
      <c r="E24" s="20">
        <f t="shared" si="1"/>
        <v>20001</v>
      </c>
    </row>
    <row r="25" spans="1:5" x14ac:dyDescent="0.25">
      <c r="A25" s="19" t="str">
        <f t="shared" si="0"/>
        <v>WED</v>
      </c>
      <c r="B25" s="6">
        <v>44034</v>
      </c>
      <c r="C25" s="8">
        <v>10090</v>
      </c>
      <c r="D25" s="8">
        <v>9314</v>
      </c>
      <c r="E25" s="20">
        <f t="shared" si="1"/>
        <v>19404</v>
      </c>
    </row>
    <row r="26" spans="1:5" x14ac:dyDescent="0.25">
      <c r="A26" s="19" t="str">
        <f t="shared" si="0"/>
        <v>THU</v>
      </c>
      <c r="B26" s="6">
        <v>44035</v>
      </c>
      <c r="C26" s="8">
        <v>9735</v>
      </c>
      <c r="D26" s="8">
        <v>9134</v>
      </c>
      <c r="E26" s="20">
        <f t="shared" si="1"/>
        <v>18869</v>
      </c>
    </row>
    <row r="27" spans="1:5" x14ac:dyDescent="0.25">
      <c r="A27" s="19" t="str">
        <f t="shared" si="0"/>
        <v>FRI</v>
      </c>
      <c r="B27" s="6">
        <v>44036</v>
      </c>
      <c r="C27" s="8">
        <v>9733</v>
      </c>
      <c r="D27" s="8">
        <v>9296</v>
      </c>
      <c r="E27" s="20">
        <f t="shared" si="1"/>
        <v>19029</v>
      </c>
    </row>
    <row r="28" spans="1:5" x14ac:dyDescent="0.25">
      <c r="A28" s="19" t="str">
        <f t="shared" si="0"/>
        <v>SAT</v>
      </c>
      <c r="B28" s="6">
        <v>44037</v>
      </c>
      <c r="C28" s="8">
        <v>8826</v>
      </c>
      <c r="D28" s="8">
        <v>8296</v>
      </c>
      <c r="E28" s="20">
        <f t="shared" si="1"/>
        <v>17122</v>
      </c>
    </row>
    <row r="29" spans="1:5" x14ac:dyDescent="0.25">
      <c r="A29" s="19" t="str">
        <f t="shared" si="0"/>
        <v>SUN</v>
      </c>
      <c r="B29" s="6">
        <v>44038</v>
      </c>
      <c r="C29" s="8">
        <v>7268</v>
      </c>
      <c r="D29" s="8">
        <v>6685</v>
      </c>
      <c r="E29" s="20">
        <f t="shared" si="1"/>
        <v>13953</v>
      </c>
    </row>
    <row r="30" spans="1:5" x14ac:dyDescent="0.25">
      <c r="A30" s="19" t="str">
        <f t="shared" si="0"/>
        <v>MON</v>
      </c>
      <c r="B30" s="6">
        <v>44039</v>
      </c>
      <c r="C30" s="8">
        <v>10094</v>
      </c>
      <c r="D30" s="8">
        <v>9658</v>
      </c>
      <c r="E30" s="20">
        <f t="shared" si="1"/>
        <v>19752</v>
      </c>
    </row>
    <row r="31" spans="1:5" x14ac:dyDescent="0.25">
      <c r="A31" s="19" t="str">
        <f t="shared" si="0"/>
        <v>TUE</v>
      </c>
      <c r="B31" s="6">
        <v>44040</v>
      </c>
      <c r="C31" s="8">
        <v>10052</v>
      </c>
      <c r="D31" s="8">
        <v>9538</v>
      </c>
      <c r="E31" s="20">
        <f t="shared" si="1"/>
        <v>19590</v>
      </c>
    </row>
    <row r="32" spans="1:5" x14ac:dyDescent="0.25">
      <c r="A32" s="19" t="str">
        <f t="shared" si="0"/>
        <v>WED</v>
      </c>
      <c r="B32" s="6">
        <v>44041</v>
      </c>
      <c r="C32" s="8">
        <v>10743</v>
      </c>
      <c r="D32" s="8">
        <v>10212</v>
      </c>
      <c r="E32" s="20">
        <f t="shared" si="1"/>
        <v>20955</v>
      </c>
    </row>
    <row r="33" spans="1:5" x14ac:dyDescent="0.25">
      <c r="A33" s="19" t="str">
        <f t="shared" si="0"/>
        <v>THU</v>
      </c>
      <c r="B33" s="6">
        <v>44042</v>
      </c>
      <c r="C33" s="8">
        <v>10465</v>
      </c>
      <c r="D33" s="8">
        <v>9935</v>
      </c>
      <c r="E33" s="20">
        <f t="shared" si="1"/>
        <v>20400</v>
      </c>
    </row>
    <row r="34" spans="1:5" x14ac:dyDescent="0.25">
      <c r="A34" s="19" t="str">
        <f t="shared" si="0"/>
        <v>FRI</v>
      </c>
      <c r="B34" s="6">
        <v>44043</v>
      </c>
      <c r="C34" s="8">
        <v>10350</v>
      </c>
      <c r="D34" s="8">
        <v>9713</v>
      </c>
      <c r="E34" s="20">
        <f t="shared" si="1"/>
        <v>20063</v>
      </c>
    </row>
    <row r="35" spans="1:5" ht="14.4" thickBot="1" x14ac:dyDescent="0.3">
      <c r="A35" s="29" t="s">
        <v>9</v>
      </c>
      <c r="B35" s="30"/>
      <c r="C35" s="21">
        <f>SUM(C4:C34)</f>
        <v>283944</v>
      </c>
      <c r="D35" s="21">
        <f>SUM(D4:D34)</f>
        <v>266798</v>
      </c>
      <c r="E35" s="22">
        <f>SUM(E4:E34)</f>
        <v>550742</v>
      </c>
    </row>
    <row r="38" spans="1:5" ht="14.4" thickBot="1" x14ac:dyDescent="0.3"/>
    <row r="39" spans="1:5" ht="14.4" thickBot="1" x14ac:dyDescent="0.3">
      <c r="A39" s="31" t="s">
        <v>10</v>
      </c>
      <c r="B39" s="32"/>
      <c r="C39" s="32"/>
      <c r="D39" s="33"/>
      <c r="E39" s="7">
        <f>E35</f>
        <v>550742</v>
      </c>
    </row>
  </sheetData>
  <mergeCells count="3">
    <mergeCell ref="A2:E2"/>
    <mergeCell ref="A35:B35"/>
    <mergeCell ref="A39:D39"/>
  </mergeCells>
  <pageMargins left="0.7" right="0.7" top="0.75" bottom="0.75" header="0.3" footer="0.3"/>
  <pageSetup orientation="portrait" r:id="rId1"/>
  <ignoredErrors>
    <ignoredError sqref="E4:E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47"/>
  <sheetViews>
    <sheetView topLeftCell="A17" workbookViewId="0">
      <selection activeCell="A35" sqref="A35"/>
    </sheetView>
  </sheetViews>
  <sheetFormatPr defaultColWidth="9.109375" defaultRowHeight="13.8" x14ac:dyDescent="0.25"/>
  <cols>
    <col min="1" max="6" width="12.6640625" style="2" customWidth="1"/>
    <col min="7" max="9" width="11" style="2" bestFit="1" customWidth="1"/>
    <col min="10" max="11" width="9.109375" style="2"/>
    <col min="12" max="12" width="11" style="2" bestFit="1" customWidth="1"/>
    <col min="13" max="16384" width="9.109375" style="2"/>
  </cols>
  <sheetData>
    <row r="3" spans="1:12" ht="14.4" thickBot="1" x14ac:dyDescent="0.3"/>
    <row r="4" spans="1:12" x14ac:dyDescent="0.25">
      <c r="A4" s="38" t="s">
        <v>11</v>
      </c>
      <c r="B4" s="39"/>
      <c r="C4" s="39"/>
      <c r="D4" s="39"/>
      <c r="E4" s="40"/>
    </row>
    <row r="5" spans="1:12" ht="35.25" customHeight="1" x14ac:dyDescent="0.25">
      <c r="A5" s="13" t="s">
        <v>0</v>
      </c>
      <c r="B5" s="5" t="s">
        <v>1</v>
      </c>
      <c r="C5" s="5" t="s">
        <v>2</v>
      </c>
      <c r="D5" s="5" t="s">
        <v>3</v>
      </c>
      <c r="E5" s="14" t="s">
        <v>4</v>
      </c>
      <c r="F5" s="3"/>
    </row>
    <row r="6" spans="1:12" x14ac:dyDescent="0.25">
      <c r="A6" s="15" t="str">
        <f>CHOOSE(WEEKDAY(B6),"SUN","MON","TUE","WED","THU","FRI","SAT")</f>
        <v>WED</v>
      </c>
      <c r="B6" s="25">
        <v>44013</v>
      </c>
      <c r="C6" s="8">
        <v>9124</v>
      </c>
      <c r="D6" s="8">
        <v>8466</v>
      </c>
      <c r="E6" s="16">
        <f>SUM(C6:D6)</f>
        <v>17590</v>
      </c>
      <c r="G6" s="24"/>
    </row>
    <row r="7" spans="1:12" x14ac:dyDescent="0.25">
      <c r="A7" s="15" t="str">
        <f>CHOOSE(WEEKDAY(B7),"SUN","MON","TUE","WED","THU","FRI","SAT")</f>
        <v>THU</v>
      </c>
      <c r="B7" s="25">
        <v>44014</v>
      </c>
      <c r="C7" s="8">
        <v>9744</v>
      </c>
      <c r="D7" s="8">
        <v>9306</v>
      </c>
      <c r="E7" s="16">
        <f t="shared" ref="E7:E28" si="0">SUM(C7:D7)</f>
        <v>19050</v>
      </c>
      <c r="G7" s="24"/>
    </row>
    <row r="8" spans="1:12" x14ac:dyDescent="0.25">
      <c r="A8" s="15" t="str">
        <f>CHOOSE(WEEKDAY(B8),"SUN","MON","TUE","WED","THU","FRI","SAT")</f>
        <v>FRI</v>
      </c>
      <c r="B8" s="25">
        <v>44015</v>
      </c>
      <c r="C8" s="8">
        <v>7736</v>
      </c>
      <c r="D8" s="8">
        <v>7177</v>
      </c>
      <c r="E8" s="16">
        <f t="shared" si="0"/>
        <v>14913</v>
      </c>
      <c r="G8" s="24"/>
    </row>
    <row r="9" spans="1:12" x14ac:dyDescent="0.25">
      <c r="A9" s="15" t="str">
        <f t="shared" ref="A9:A10" si="1">CHOOSE(WEEKDAY(B9),"SUN","MON","TUE","WED","THU","FRI","SAT")</f>
        <v>MON</v>
      </c>
      <c r="B9" s="25">
        <v>44018</v>
      </c>
      <c r="C9" s="8">
        <v>9041</v>
      </c>
      <c r="D9" s="8">
        <v>8548</v>
      </c>
      <c r="E9" s="16">
        <f t="shared" si="0"/>
        <v>17589</v>
      </c>
      <c r="G9" s="24"/>
      <c r="L9" s="24"/>
    </row>
    <row r="10" spans="1:12" x14ac:dyDescent="0.25">
      <c r="A10" s="15" t="str">
        <f t="shared" si="1"/>
        <v>TUE</v>
      </c>
      <c r="B10" s="25">
        <v>44019</v>
      </c>
      <c r="C10" s="8">
        <v>9729</v>
      </c>
      <c r="D10" s="8">
        <v>9106</v>
      </c>
      <c r="E10" s="16">
        <f t="shared" si="0"/>
        <v>18835</v>
      </c>
      <c r="G10" s="24"/>
      <c r="L10" s="24"/>
    </row>
    <row r="11" spans="1:12" x14ac:dyDescent="0.25">
      <c r="A11" s="15" t="str">
        <f t="shared" ref="A11:A28" si="2">CHOOSE(WEEKDAY(B11),"SUN","MON","TUE","WED","THU","FRI","SAT")</f>
        <v>WED</v>
      </c>
      <c r="B11" s="25">
        <v>44020</v>
      </c>
      <c r="C11" s="8">
        <v>9612</v>
      </c>
      <c r="D11" s="8">
        <v>9019</v>
      </c>
      <c r="E11" s="16">
        <f t="shared" si="0"/>
        <v>18631</v>
      </c>
      <c r="G11" s="24"/>
      <c r="L11" s="24"/>
    </row>
    <row r="12" spans="1:12" x14ac:dyDescent="0.25">
      <c r="A12" s="15" t="str">
        <f t="shared" si="2"/>
        <v>THU</v>
      </c>
      <c r="B12" s="25">
        <v>44021</v>
      </c>
      <c r="C12" s="8">
        <v>10237</v>
      </c>
      <c r="D12" s="8">
        <v>9825</v>
      </c>
      <c r="E12" s="16">
        <f t="shared" si="0"/>
        <v>20062</v>
      </c>
      <c r="G12" s="24"/>
      <c r="L12" s="24"/>
    </row>
    <row r="13" spans="1:12" x14ac:dyDescent="0.25">
      <c r="A13" s="15" t="str">
        <f t="shared" si="2"/>
        <v>FRI</v>
      </c>
      <c r="B13" s="25">
        <v>44022</v>
      </c>
      <c r="C13" s="8">
        <v>8008</v>
      </c>
      <c r="D13" s="8">
        <v>7476</v>
      </c>
      <c r="E13" s="16">
        <f t="shared" si="0"/>
        <v>15484</v>
      </c>
      <c r="G13" s="24"/>
      <c r="L13" s="24"/>
    </row>
    <row r="14" spans="1:12" x14ac:dyDescent="0.25">
      <c r="A14" s="15" t="str">
        <f t="shared" si="2"/>
        <v>MON</v>
      </c>
      <c r="B14" s="25">
        <v>44025</v>
      </c>
      <c r="C14" s="8">
        <v>9743</v>
      </c>
      <c r="D14" s="8">
        <v>9331</v>
      </c>
      <c r="E14" s="16">
        <f t="shared" si="0"/>
        <v>19074</v>
      </c>
      <c r="G14" s="24"/>
      <c r="L14" s="24"/>
    </row>
    <row r="15" spans="1:12" x14ac:dyDescent="0.25">
      <c r="A15" s="15" t="str">
        <f t="shared" si="2"/>
        <v>TUE</v>
      </c>
      <c r="B15" s="25">
        <v>44026</v>
      </c>
      <c r="C15" s="8">
        <v>10265</v>
      </c>
      <c r="D15" s="8">
        <v>9822</v>
      </c>
      <c r="E15" s="16">
        <f t="shared" si="0"/>
        <v>20087</v>
      </c>
      <c r="G15" s="24"/>
      <c r="L15" s="24"/>
    </row>
    <row r="16" spans="1:12" x14ac:dyDescent="0.25">
      <c r="A16" s="15" t="str">
        <f t="shared" si="2"/>
        <v>WED</v>
      </c>
      <c r="B16" s="25">
        <v>44027</v>
      </c>
      <c r="C16" s="8">
        <v>9962</v>
      </c>
      <c r="D16" s="8">
        <v>9375</v>
      </c>
      <c r="E16" s="16">
        <f t="shared" si="0"/>
        <v>19337</v>
      </c>
      <c r="G16" s="24"/>
      <c r="L16" s="24"/>
    </row>
    <row r="17" spans="1:7" x14ac:dyDescent="0.25">
      <c r="A17" s="15" t="str">
        <f t="shared" si="2"/>
        <v>THU</v>
      </c>
      <c r="B17" s="25">
        <v>44028</v>
      </c>
      <c r="C17" s="8">
        <v>10486</v>
      </c>
      <c r="D17" s="8">
        <v>9925</v>
      </c>
      <c r="E17" s="16">
        <f t="shared" si="0"/>
        <v>20411</v>
      </c>
      <c r="G17" s="24"/>
    </row>
    <row r="18" spans="1:7" x14ac:dyDescent="0.25">
      <c r="A18" s="15" t="str">
        <f t="shared" si="2"/>
        <v>FRI</v>
      </c>
      <c r="B18" s="25">
        <v>44029</v>
      </c>
      <c r="C18" s="8">
        <v>9822</v>
      </c>
      <c r="D18" s="8">
        <v>9069</v>
      </c>
      <c r="E18" s="16">
        <f t="shared" si="0"/>
        <v>18891</v>
      </c>
      <c r="G18" s="24"/>
    </row>
    <row r="19" spans="1:7" x14ac:dyDescent="0.25">
      <c r="A19" s="15" t="str">
        <f t="shared" si="2"/>
        <v>MON</v>
      </c>
      <c r="B19" s="25">
        <v>44032</v>
      </c>
      <c r="C19" s="8">
        <v>9319</v>
      </c>
      <c r="D19" s="8">
        <v>8916</v>
      </c>
      <c r="E19" s="16">
        <f t="shared" si="0"/>
        <v>18235</v>
      </c>
      <c r="G19" s="24"/>
    </row>
    <row r="20" spans="1:7" x14ac:dyDescent="0.25">
      <c r="A20" s="15" t="str">
        <f t="shared" si="2"/>
        <v>TUE</v>
      </c>
      <c r="B20" s="25">
        <v>44033</v>
      </c>
      <c r="C20" s="8">
        <v>10264</v>
      </c>
      <c r="D20" s="8">
        <v>9737</v>
      </c>
      <c r="E20" s="16">
        <f t="shared" si="0"/>
        <v>20001</v>
      </c>
      <c r="G20" s="24"/>
    </row>
    <row r="21" spans="1:7" x14ac:dyDescent="0.25">
      <c r="A21" s="15" t="str">
        <f t="shared" si="2"/>
        <v>WED</v>
      </c>
      <c r="B21" s="25">
        <v>44034</v>
      </c>
      <c r="C21" s="8">
        <v>10090</v>
      </c>
      <c r="D21" s="8">
        <v>9314</v>
      </c>
      <c r="E21" s="16">
        <f t="shared" si="0"/>
        <v>19404</v>
      </c>
      <c r="G21" s="24"/>
    </row>
    <row r="22" spans="1:7" x14ac:dyDescent="0.25">
      <c r="A22" s="15" t="str">
        <f t="shared" si="2"/>
        <v>THU</v>
      </c>
      <c r="B22" s="25">
        <v>44035</v>
      </c>
      <c r="C22" s="8">
        <v>9735</v>
      </c>
      <c r="D22" s="8">
        <v>9134</v>
      </c>
      <c r="E22" s="16">
        <f t="shared" si="0"/>
        <v>18869</v>
      </c>
      <c r="G22" s="24"/>
    </row>
    <row r="23" spans="1:7" x14ac:dyDescent="0.25">
      <c r="A23" s="15" t="str">
        <f t="shared" si="2"/>
        <v>FRI</v>
      </c>
      <c r="B23" s="25">
        <v>44036</v>
      </c>
      <c r="C23" s="8">
        <v>9733</v>
      </c>
      <c r="D23" s="8">
        <v>9296</v>
      </c>
      <c r="E23" s="16">
        <f t="shared" si="0"/>
        <v>19029</v>
      </c>
      <c r="G23" s="24"/>
    </row>
    <row r="24" spans="1:7" x14ac:dyDescent="0.25">
      <c r="A24" s="15" t="str">
        <f t="shared" si="2"/>
        <v>MON</v>
      </c>
      <c r="B24" s="25">
        <v>44039</v>
      </c>
      <c r="C24" s="8">
        <v>10094</v>
      </c>
      <c r="D24" s="8">
        <v>9658</v>
      </c>
      <c r="E24" s="16">
        <f t="shared" si="0"/>
        <v>19752</v>
      </c>
      <c r="G24" s="24"/>
    </row>
    <row r="25" spans="1:7" x14ac:dyDescent="0.25">
      <c r="A25" s="15" t="str">
        <f t="shared" si="2"/>
        <v>TUE</v>
      </c>
      <c r="B25" s="25">
        <v>44040</v>
      </c>
      <c r="C25" s="8">
        <v>10052</v>
      </c>
      <c r="D25" s="8">
        <v>9538</v>
      </c>
      <c r="E25" s="16">
        <f t="shared" si="0"/>
        <v>19590</v>
      </c>
      <c r="G25" s="24"/>
    </row>
    <row r="26" spans="1:7" x14ac:dyDescent="0.25">
      <c r="A26" s="15" t="str">
        <f t="shared" si="2"/>
        <v>WED</v>
      </c>
      <c r="B26" s="25">
        <v>44041</v>
      </c>
      <c r="C26" s="8">
        <v>10743</v>
      </c>
      <c r="D26" s="8">
        <v>10212</v>
      </c>
      <c r="E26" s="16">
        <f t="shared" si="0"/>
        <v>20955</v>
      </c>
      <c r="G26" s="24"/>
    </row>
    <row r="27" spans="1:7" x14ac:dyDescent="0.25">
      <c r="A27" s="15" t="str">
        <f t="shared" si="2"/>
        <v>THU</v>
      </c>
      <c r="B27" s="25">
        <v>44042</v>
      </c>
      <c r="C27" s="8">
        <v>10465</v>
      </c>
      <c r="D27" s="8">
        <v>9935</v>
      </c>
      <c r="E27" s="16">
        <f t="shared" si="0"/>
        <v>20400</v>
      </c>
      <c r="G27" s="24"/>
    </row>
    <row r="28" spans="1:7" x14ac:dyDescent="0.25">
      <c r="A28" s="15" t="str">
        <f t="shared" si="2"/>
        <v>FRI</v>
      </c>
      <c r="B28" s="25">
        <v>44043</v>
      </c>
      <c r="C28" s="8">
        <v>10350</v>
      </c>
      <c r="D28" s="8">
        <v>9713</v>
      </c>
      <c r="E28" s="16">
        <f t="shared" si="0"/>
        <v>20063</v>
      </c>
      <c r="G28" s="24"/>
    </row>
    <row r="29" spans="1:7" ht="14.4" thickBot="1" x14ac:dyDescent="0.3">
      <c r="A29" s="34" t="s">
        <v>5</v>
      </c>
      <c r="B29" s="35"/>
      <c r="C29" s="17">
        <f>SUM(C6:C28)</f>
        <v>224354</v>
      </c>
      <c r="D29" s="17">
        <f>SUM(D6:D28)</f>
        <v>211898</v>
      </c>
      <c r="E29" s="12">
        <f>SUM(E6:E28)</f>
        <v>436252</v>
      </c>
      <c r="G29" s="24"/>
    </row>
    <row r="30" spans="1:7" ht="14.4" thickBot="1" x14ac:dyDescent="0.3">
      <c r="G30" s="24"/>
    </row>
    <row r="31" spans="1:7" x14ac:dyDescent="0.25">
      <c r="A31" s="36" t="s">
        <v>13</v>
      </c>
      <c r="B31" s="37"/>
      <c r="C31" s="37"/>
      <c r="D31" s="37"/>
      <c r="E31" s="9">
        <f>E29</f>
        <v>436252</v>
      </c>
      <c r="G31" s="24"/>
    </row>
    <row r="32" spans="1:7" ht="14.4" thickBot="1" x14ac:dyDescent="0.3">
      <c r="A32" s="34" t="s">
        <v>6</v>
      </c>
      <c r="B32" s="35"/>
      <c r="C32" s="35"/>
      <c r="D32" s="35"/>
      <c r="E32" s="10">
        <f>AVERAGE(E6:E28)</f>
        <v>18967.478260869564</v>
      </c>
      <c r="G32" s="24"/>
    </row>
    <row r="33" spans="1:8" ht="14.4" thickBot="1" x14ac:dyDescent="0.3">
      <c r="G33" s="24"/>
    </row>
    <row r="34" spans="1:8" x14ac:dyDescent="0.25">
      <c r="A34" s="38" t="s">
        <v>12</v>
      </c>
      <c r="B34" s="39"/>
      <c r="C34" s="39"/>
      <c r="D34" s="39"/>
      <c r="E34" s="40"/>
      <c r="G34" s="24"/>
    </row>
    <row r="35" spans="1:8" ht="27.6" x14ac:dyDescent="0.25">
      <c r="A35" s="18" t="s">
        <v>0</v>
      </c>
      <c r="B35" s="11" t="s">
        <v>1</v>
      </c>
      <c r="C35" s="11" t="s">
        <v>2</v>
      </c>
      <c r="D35" s="11" t="s">
        <v>3</v>
      </c>
      <c r="E35" s="14" t="s">
        <v>4</v>
      </c>
      <c r="H35" s="24"/>
    </row>
    <row r="36" spans="1:8" x14ac:dyDescent="0.25">
      <c r="A36" s="15" t="str">
        <f t="shared" ref="A36:A43" si="3">CHOOSE(WEEKDAY(B36),"SUN","MON","TUE","WED","THU","FRI","SAT")</f>
        <v>SAT</v>
      </c>
      <c r="B36" s="25">
        <v>44016</v>
      </c>
      <c r="C36" s="8">
        <v>7901</v>
      </c>
      <c r="D36" s="8">
        <v>7140</v>
      </c>
      <c r="E36" s="16">
        <f>SUM(C36:D36)</f>
        <v>15041</v>
      </c>
    </row>
    <row r="37" spans="1:8" x14ac:dyDescent="0.25">
      <c r="A37" s="15" t="str">
        <f t="shared" si="3"/>
        <v>SUN</v>
      </c>
      <c r="B37" s="25">
        <v>44017</v>
      </c>
      <c r="C37" s="8">
        <v>6614</v>
      </c>
      <c r="D37" s="8">
        <v>6010</v>
      </c>
      <c r="E37" s="16">
        <f t="shared" ref="E37:E43" si="4">SUM(C37:D37)</f>
        <v>12624</v>
      </c>
    </row>
    <row r="38" spans="1:8" x14ac:dyDescent="0.25">
      <c r="A38" s="15" t="str">
        <f t="shared" si="3"/>
        <v>SAT</v>
      </c>
      <c r="B38" s="25">
        <v>44023</v>
      </c>
      <c r="C38" s="8">
        <v>6728</v>
      </c>
      <c r="D38" s="8">
        <v>6237</v>
      </c>
      <c r="E38" s="16">
        <f t="shared" si="4"/>
        <v>12965</v>
      </c>
    </row>
    <row r="39" spans="1:8" x14ac:dyDescent="0.25">
      <c r="A39" s="15" t="str">
        <f t="shared" si="3"/>
        <v>SUN</v>
      </c>
      <c r="B39" s="25">
        <v>44024</v>
      </c>
      <c r="C39" s="8">
        <v>7523</v>
      </c>
      <c r="D39" s="8">
        <v>6876</v>
      </c>
      <c r="E39" s="16">
        <f t="shared" si="4"/>
        <v>14399</v>
      </c>
    </row>
    <row r="40" spans="1:8" x14ac:dyDescent="0.25">
      <c r="A40" s="15" t="str">
        <f t="shared" si="3"/>
        <v>SAT</v>
      </c>
      <c r="B40" s="25">
        <v>44030</v>
      </c>
      <c r="C40" s="8">
        <v>8209</v>
      </c>
      <c r="D40" s="8">
        <v>7721</v>
      </c>
      <c r="E40" s="16">
        <f t="shared" si="4"/>
        <v>15930</v>
      </c>
    </row>
    <row r="41" spans="1:8" x14ac:dyDescent="0.25">
      <c r="A41" s="15" t="str">
        <f t="shared" si="3"/>
        <v>SUN</v>
      </c>
      <c r="B41" s="25">
        <v>44031</v>
      </c>
      <c r="C41" s="8">
        <v>6521</v>
      </c>
      <c r="D41" s="8">
        <v>5935</v>
      </c>
      <c r="E41" s="16">
        <f t="shared" si="4"/>
        <v>12456</v>
      </c>
    </row>
    <row r="42" spans="1:8" x14ac:dyDescent="0.25">
      <c r="A42" s="15" t="str">
        <f t="shared" si="3"/>
        <v>SAT</v>
      </c>
      <c r="B42" s="25">
        <v>44037</v>
      </c>
      <c r="C42" s="8">
        <v>8826</v>
      </c>
      <c r="D42" s="8">
        <v>8296</v>
      </c>
      <c r="E42" s="16">
        <f t="shared" si="4"/>
        <v>17122</v>
      </c>
    </row>
    <row r="43" spans="1:8" x14ac:dyDescent="0.25">
      <c r="A43" s="15" t="str">
        <f t="shared" si="3"/>
        <v>SUN</v>
      </c>
      <c r="B43" s="25">
        <v>44038</v>
      </c>
      <c r="C43" s="8">
        <v>7268</v>
      </c>
      <c r="D43" s="8">
        <v>6685</v>
      </c>
      <c r="E43" s="16">
        <f t="shared" si="4"/>
        <v>13953</v>
      </c>
    </row>
    <row r="44" spans="1:8" ht="14.4" thickBot="1" x14ac:dyDescent="0.3">
      <c r="A44" s="34" t="s">
        <v>5</v>
      </c>
      <c r="B44" s="35"/>
      <c r="C44" s="17">
        <f>SUM(C36:C43)</f>
        <v>59590</v>
      </c>
      <c r="D44" s="17">
        <f>SUM(D36:D43)</f>
        <v>54900</v>
      </c>
      <c r="E44" s="12">
        <f>SUM(E36:E43)</f>
        <v>114490</v>
      </c>
    </row>
    <row r="45" spans="1:8" ht="14.4" thickBot="1" x14ac:dyDescent="0.3">
      <c r="A45" s="4"/>
      <c r="B45" s="4"/>
      <c r="C45" s="4"/>
      <c r="D45" s="4"/>
      <c r="E45" s="4"/>
    </row>
    <row r="46" spans="1:8" x14ac:dyDescent="0.25">
      <c r="A46" s="36" t="s">
        <v>7</v>
      </c>
      <c r="B46" s="37"/>
      <c r="C46" s="37"/>
      <c r="D46" s="37"/>
      <c r="E46" s="23">
        <f>AVERAGE(E36,E38,E40,E42)</f>
        <v>15264.5</v>
      </c>
    </row>
    <row r="47" spans="1:8" ht="14.4" thickBot="1" x14ac:dyDescent="0.3">
      <c r="A47" s="34" t="s">
        <v>8</v>
      </c>
      <c r="B47" s="35"/>
      <c r="C47" s="35"/>
      <c r="D47" s="35"/>
      <c r="E47" s="10">
        <f>AVERAGE(E37,E39,E41,E43)</f>
        <v>13358</v>
      </c>
    </row>
  </sheetData>
  <mergeCells count="8">
    <mergeCell ref="A44:B44"/>
    <mergeCell ref="A46:D46"/>
    <mergeCell ref="A47:D47"/>
    <mergeCell ref="A4:E4"/>
    <mergeCell ref="A29:B29"/>
    <mergeCell ref="A31:D31"/>
    <mergeCell ref="A32:D32"/>
    <mergeCell ref="A34:E34"/>
  </mergeCells>
  <pageMargins left="0.7" right="0.7" top="0.75" bottom="0.75" header="0.3" footer="0.3"/>
  <pageSetup orientation="portrait" r:id="rId1"/>
  <ignoredErrors>
    <ignoredError sqref="E24:E28 E36:E43 E6:E2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DD52E6-9BBC-4BC1-9DC7-C58DC77F9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22A58-22D9-4EA6-8BF6-5AE6D3720E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A06A62-80DA-4FCB-B1F8-08C7A1A5DF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2020-06-26T16:56:30Z</dcterms:created>
  <dcterms:modified xsi:type="dcterms:W3CDTF">2026-04-07T23:53:10Z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