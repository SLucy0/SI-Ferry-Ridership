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ba793b93b84dd1b/Documents/Python for Data Analytics/Capstone_project/Edited SIFMonthlyRidership_2017_to_2025/"/>
    </mc:Choice>
  </mc:AlternateContent>
  <xr:revisionPtr revIDLastSave="0" documentId="8_{B2DE2908-460E-4CA9-8E56-55C26FAB99C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OTALS" sheetId="1" r:id="rId1"/>
    <sheet name="Weekday-Weeke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4" i="1"/>
  <c r="D33" i="1"/>
  <c r="C33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A5" i="1"/>
  <c r="E37" i="2"/>
  <c r="E38" i="2"/>
  <c r="E39" i="2"/>
  <c r="E40" i="2"/>
  <c r="E41" i="2"/>
  <c r="E42" i="2"/>
  <c r="E43" i="2"/>
  <c r="E44" i="2"/>
  <c r="E36" i="2"/>
  <c r="E47" i="2" s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4" i="2"/>
  <c r="D45" i="2"/>
  <c r="C45" i="2"/>
  <c r="D24" i="2"/>
  <c r="C24" i="2"/>
  <c r="E24" i="2" l="1"/>
  <c r="E26" i="2" s="1"/>
  <c r="E48" i="2"/>
  <c r="E33" i="1"/>
  <c r="E36" i="1" s="1"/>
  <c r="E45" i="2"/>
  <c r="E27" i="2"/>
  <c r="A44" i="2"/>
  <c r="A23" i="2"/>
  <c r="A22" i="2"/>
  <c r="A21" i="2"/>
  <c r="A20" i="2"/>
  <c r="A19" i="2"/>
  <c r="A43" i="2"/>
  <c r="A42" i="2"/>
  <c r="A18" i="2"/>
  <c r="A17" i="2"/>
  <c r="A16" i="2"/>
  <c r="A15" i="2"/>
  <c r="A14" i="2"/>
  <c r="A41" i="2"/>
  <c r="A40" i="2"/>
  <c r="A13" i="2"/>
  <c r="A12" i="2"/>
  <c r="A11" i="2"/>
  <c r="A10" i="2"/>
  <c r="A9" i="2"/>
  <c r="A39" i="2"/>
  <c r="A38" i="2"/>
  <c r="A8" i="2"/>
  <c r="A7" i="2"/>
  <c r="A6" i="2"/>
  <c r="A5" i="2"/>
  <c r="A4" i="2"/>
  <c r="A37" i="2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</calcChain>
</file>

<file path=xl/sharedStrings.xml><?xml version="1.0" encoding="utf-8"?>
<sst xmlns="http://schemas.openxmlformats.org/spreadsheetml/2006/main" count="28" uniqueCount="15">
  <si>
    <t>Day</t>
  </si>
  <si>
    <t>Date</t>
  </si>
  <si>
    <t>WHT</t>
  </si>
  <si>
    <t>STG</t>
  </si>
  <si>
    <t>Combined TOTAL</t>
  </si>
  <si>
    <t xml:space="preserve">February 2020: WEEKDAY TOTALS </t>
  </si>
  <si>
    <t>TOTALS:</t>
  </si>
  <si>
    <t>Total Weekday Pax Count February 2020:</t>
  </si>
  <si>
    <t>Average Passengers/Weekday</t>
  </si>
  <si>
    <t xml:space="preserve">February 2020: WEEKEND TOTALS </t>
  </si>
  <si>
    <t xml:space="preserve">Average Saturday Passengers: </t>
  </si>
  <si>
    <t xml:space="preserve">Average Sunday Passengers: </t>
  </si>
  <si>
    <t>TOTAL FEBRUARY RIDERSHIP:</t>
  </si>
  <si>
    <t>SAT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</si>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</sst>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11"/>
      <name val="Century Gothic"/>
      <family val="2"/>
    </font>
    <font>
      <b/>
      <sz val="11"/>
      <color theme="0"/>
      <name val="Century Gothic"/>
      <family val="2"/>
    </font>
    <font>
      <b/>
      <sz val="11"/>
      <color theme="1"/>
      <name val="Century Gothic"/>
      <family val="2"/>
    </font>
    <font>
      <b/>
      <sz val="11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14" fontId="2" fillId="0" borderId="4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5" fillId="5" borderId="12" xfId="0" applyFont="1" applyFill="1" applyBorder="1" applyAlignment="1">
      <alignment horizontal="center"/>
    </xf>
    <xf numFmtId="0" fontId="2" fillId="0" borderId="17" xfId="0" applyFont="1" applyBorder="1" applyAlignment="1">
      <alignment horizontal="center"/>
    </xf>
    <xf numFmtId="14" fontId="2" fillId="0" borderId="18" xfId="0" applyNumberFormat="1" applyFont="1" applyBorder="1" applyAlignment="1">
      <alignment horizont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 wrapText="1"/>
    </xf>
    <xf numFmtId="14" fontId="2" fillId="0" borderId="16" xfId="0" applyNumberFormat="1" applyFont="1" applyBorder="1" applyAlignment="1">
      <alignment horizontal="center"/>
    </xf>
    <xf numFmtId="0" fontId="5" fillId="2" borderId="26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 wrapText="1"/>
    </xf>
    <xf numFmtId="0" fontId="3" fillId="6" borderId="17" xfId="0" applyFont="1" applyFill="1" applyBorder="1" applyAlignment="1">
      <alignment horizontal="center" vertical="center"/>
    </xf>
    <xf numFmtId="14" fontId="3" fillId="6" borderId="18" xfId="0" applyNumberFormat="1" applyFont="1" applyFill="1" applyBorder="1" applyAlignment="1">
      <alignment horizontal="center" vertic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6" borderId="17" xfId="0" applyFont="1" applyFill="1" applyBorder="1" applyAlignment="1">
      <alignment horizontal="center" vertical="center"/>
    </xf>
    <xf numFmtId="14" fontId="2" fillId="6" borderId="18" xfId="0" applyNumberFormat="1" applyFont="1" applyFill="1" applyBorder="1" applyAlignment="1">
      <alignment horizontal="center" vertical="center"/>
    </xf>
    <xf numFmtId="37" fontId="6" fillId="4" borderId="14" xfId="0" applyNumberFormat="1" applyFont="1" applyFill="1" applyBorder="1" applyAlignment="1">
      <alignment horizontal="center" vertical="center"/>
    </xf>
    <xf numFmtId="0" fontId="5" fillId="5" borderId="26" xfId="0" applyFont="1" applyFill="1" applyBorder="1" applyAlignment="1">
      <alignment horizontal="right"/>
    </xf>
    <xf numFmtId="164" fontId="5" fillId="5" borderId="21" xfId="1" applyNumberFormat="1" applyFont="1" applyFill="1" applyBorder="1" applyAlignment="1">
      <alignment horizontal="center"/>
    </xf>
    <xf numFmtId="164" fontId="2" fillId="0" borderId="18" xfId="1" applyNumberFormat="1" applyFont="1" applyBorder="1" applyAlignment="1">
      <alignment horizontal="center"/>
    </xf>
    <xf numFmtId="164" fontId="2" fillId="0" borderId="4" xfId="1" applyNumberFormat="1" applyFont="1" applyBorder="1" applyAlignment="1">
      <alignment horizontal="center"/>
    </xf>
    <xf numFmtId="164" fontId="2" fillId="0" borderId="16" xfId="1" applyNumberFormat="1" applyFont="1" applyBorder="1" applyAlignment="1">
      <alignment horizontal="center"/>
    </xf>
    <xf numFmtId="164" fontId="5" fillId="5" borderId="20" xfId="1" applyNumberFormat="1" applyFont="1" applyFill="1" applyBorder="1" applyAlignment="1">
      <alignment horizontal="center"/>
    </xf>
    <xf numFmtId="164" fontId="5" fillId="5" borderId="14" xfId="1" applyNumberFormat="1" applyFont="1" applyFill="1" applyBorder="1" applyAlignment="1">
      <alignment horizontal="center"/>
    </xf>
    <xf numFmtId="164" fontId="2" fillId="0" borderId="30" xfId="1" applyNumberFormat="1" applyFont="1" applyBorder="1" applyAlignment="1">
      <alignment horizontal="center"/>
    </xf>
    <xf numFmtId="164" fontId="2" fillId="0" borderId="15" xfId="1" applyNumberFormat="1" applyFont="1" applyBorder="1" applyAlignment="1">
      <alignment horizontal="center"/>
    </xf>
    <xf numFmtId="164" fontId="5" fillId="5" borderId="3" xfId="1" applyNumberFormat="1" applyFont="1" applyFill="1" applyBorder="1" applyAlignment="1">
      <alignment horizontal="center"/>
    </xf>
    <xf numFmtId="164" fontId="2" fillId="0" borderId="18" xfId="1" applyNumberFormat="1" applyFont="1" applyBorder="1"/>
    <xf numFmtId="164" fontId="3" fillId="6" borderId="19" xfId="1" applyNumberFormat="1" applyFont="1" applyFill="1" applyBorder="1" applyAlignment="1">
      <alignment horizontal="center" vertical="center" wrapText="1"/>
    </xf>
    <xf numFmtId="164" fontId="2" fillId="0" borderId="4" xfId="1" applyNumberFormat="1" applyFont="1" applyBorder="1"/>
    <xf numFmtId="164" fontId="2" fillId="0" borderId="16" xfId="1" applyNumberFormat="1" applyFont="1" applyBorder="1"/>
    <xf numFmtId="164" fontId="3" fillId="6" borderId="22" xfId="1" applyNumberFormat="1" applyFont="1" applyFill="1" applyBorder="1" applyAlignment="1">
      <alignment horizontal="center" vertical="center" wrapText="1"/>
    </xf>
    <xf numFmtId="164" fontId="5" fillId="5" borderId="20" xfId="1" applyNumberFormat="1" applyFont="1" applyFill="1" applyBorder="1"/>
    <xf numFmtId="164" fontId="5" fillId="6" borderId="19" xfId="1" applyNumberFormat="1" applyFont="1" applyFill="1" applyBorder="1" applyAlignment="1">
      <alignment vertical="center" wrapText="1"/>
    </xf>
    <xf numFmtId="164" fontId="2" fillId="0" borderId="18" xfId="1" applyNumberFormat="1" applyFont="1" applyBorder="1" applyAlignment="1"/>
    <xf numFmtId="164" fontId="2" fillId="0" borderId="4" xfId="1" applyNumberFormat="1" applyFont="1" applyBorder="1" applyAlignment="1"/>
    <xf numFmtId="164" fontId="2" fillId="0" borderId="16" xfId="1" applyNumberFormat="1" applyFont="1" applyBorder="1" applyAlignment="1"/>
    <xf numFmtId="41" fontId="6" fillId="4" borderId="12" xfId="0" applyNumberFormat="1" applyFont="1" applyFill="1" applyBorder="1" applyAlignment="1">
      <alignment horizontal="right"/>
    </xf>
    <xf numFmtId="41" fontId="6" fillId="4" borderId="13" xfId="0" applyNumberFormat="1" applyFont="1" applyFill="1" applyBorder="1" applyAlignment="1">
      <alignment horizontal="right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/>
    </xf>
    <xf numFmtId="0" fontId="5" fillId="5" borderId="13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17" fontId="4" fillId="3" borderId="5" xfId="0" applyNumberFormat="1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5" fillId="5" borderId="0" xfId="0" applyFont="1" applyFill="1" applyBorder="1" applyAlignment="1">
      <alignment horizontal="center"/>
    </xf>
    <xf numFmtId="164" fontId="5" fillId="5" borderId="0" xfId="1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0099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workbookViewId="0">
      <selection activeCell="A3" sqref="A3"/>
    </sheetView>
  </sheetViews>
  <sheetFormatPr defaultColWidth="9.109375" defaultRowHeight="13.8" x14ac:dyDescent="0.25"/>
  <cols>
    <col min="1" max="1" width="9.109375" style="3"/>
    <col min="2" max="2" width="13" style="3" customWidth="1"/>
    <col min="3" max="4" width="12.6640625" style="3" customWidth="1"/>
    <col min="5" max="5" width="12.33203125" style="3" bestFit="1" customWidth="1"/>
    <col min="6" max="6" width="12.109375" style="3" hidden="1" customWidth="1"/>
    <col min="7" max="16384" width="9.109375" style="3"/>
  </cols>
  <sheetData>
    <row r="1" spans="1:6" ht="14.4" thickBot="1" x14ac:dyDescent="0.3"/>
    <row r="2" spans="1:6" x14ac:dyDescent="0.25">
      <c r="A2" s="58">
        <v>43862</v>
      </c>
      <c r="B2" s="59"/>
      <c r="C2" s="59"/>
      <c r="D2" s="59"/>
      <c r="E2" s="60"/>
    </row>
    <row r="3" spans="1:6" ht="34.5" customHeight="1" thickBot="1" x14ac:dyDescent="0.3">
      <c r="A3" s="11" t="s">
        <v>0</v>
      </c>
      <c r="B3" s="12" t="s">
        <v>1</v>
      </c>
      <c r="C3" s="12" t="s">
        <v>2</v>
      </c>
      <c r="D3" s="12" t="s">
        <v>3</v>
      </c>
      <c r="E3" s="13" t="s">
        <v>4</v>
      </c>
      <c r="F3" s="3" t="s">
        <v>14</v>
      </c>
    </row>
    <row r="4" spans="1:6" ht="16.5" customHeight="1" x14ac:dyDescent="0.25">
      <c r="A4" s="23" t="s">
        <v>13</v>
      </c>
      <c r="B4" s="24">
        <v>43862</v>
      </c>
      <c r="C4" s="43">
        <v>17232</v>
      </c>
      <c r="D4" s="43">
        <v>16851</v>
      </c>
      <c r="E4" s="42">
        <f>SUM(C4:D4)</f>
        <v>34083</v>
      </c>
      <c r="F4" s="3">
        <f>C4-D4</f>
        <v>381</v>
      </c>
    </row>
    <row r="5" spans="1:6" ht="17.25" customHeight="1" x14ac:dyDescent="0.25">
      <c r="A5" s="9" t="str">
        <f>CHOOSE(WEEKDAY(B5),"SUN","MON","TUE","WED","THU","FRI","SAT")</f>
        <v>SUN</v>
      </c>
      <c r="B5" s="10">
        <v>43863</v>
      </c>
      <c r="C5" s="44">
        <v>14662</v>
      </c>
      <c r="D5" s="44">
        <v>13274</v>
      </c>
      <c r="E5" s="42">
        <f t="shared" ref="E5:E32" si="0">SUM(C5:D5)</f>
        <v>27936</v>
      </c>
      <c r="F5" s="3">
        <f t="shared" ref="F5:F32" si="1">C5-D5</f>
        <v>1388</v>
      </c>
    </row>
    <row r="6" spans="1:6" x14ac:dyDescent="0.25">
      <c r="A6" s="6" t="str">
        <f t="shared" ref="A6:A32" si="2">CHOOSE(WEEKDAY(B6),"SUN","MON","TUE","WED","THU","FRI","SAT")</f>
        <v>MON</v>
      </c>
      <c r="B6" s="5">
        <v>43864</v>
      </c>
      <c r="C6" s="44">
        <v>30754</v>
      </c>
      <c r="D6" s="44">
        <v>30677</v>
      </c>
      <c r="E6" s="42">
        <f t="shared" si="0"/>
        <v>61431</v>
      </c>
      <c r="F6" s="3">
        <f t="shared" si="1"/>
        <v>77</v>
      </c>
    </row>
    <row r="7" spans="1:6" x14ac:dyDescent="0.25">
      <c r="A7" s="6" t="str">
        <f t="shared" si="2"/>
        <v>TUE</v>
      </c>
      <c r="B7" s="5">
        <v>43865</v>
      </c>
      <c r="C7" s="44">
        <v>29587</v>
      </c>
      <c r="D7" s="44">
        <v>29178</v>
      </c>
      <c r="E7" s="42">
        <f t="shared" si="0"/>
        <v>58765</v>
      </c>
      <c r="F7" s="3">
        <f t="shared" si="1"/>
        <v>409</v>
      </c>
    </row>
    <row r="8" spans="1:6" x14ac:dyDescent="0.25">
      <c r="A8" s="6" t="str">
        <f t="shared" si="2"/>
        <v>WED</v>
      </c>
      <c r="B8" s="5">
        <v>43866</v>
      </c>
      <c r="C8" s="44">
        <v>29286</v>
      </c>
      <c r="D8" s="44">
        <v>28833</v>
      </c>
      <c r="E8" s="42">
        <f t="shared" si="0"/>
        <v>58119</v>
      </c>
      <c r="F8" s="3">
        <f t="shared" si="1"/>
        <v>453</v>
      </c>
    </row>
    <row r="9" spans="1:6" x14ac:dyDescent="0.25">
      <c r="A9" s="6" t="str">
        <f t="shared" si="2"/>
        <v>THU</v>
      </c>
      <c r="B9" s="5">
        <v>43867</v>
      </c>
      <c r="C9" s="44">
        <v>27772</v>
      </c>
      <c r="D9" s="44">
        <v>27596</v>
      </c>
      <c r="E9" s="42">
        <f t="shared" si="0"/>
        <v>55368</v>
      </c>
      <c r="F9" s="3">
        <f t="shared" si="1"/>
        <v>176</v>
      </c>
    </row>
    <row r="10" spans="1:6" x14ac:dyDescent="0.25">
      <c r="A10" s="6" t="str">
        <f t="shared" si="2"/>
        <v>FRI</v>
      </c>
      <c r="B10" s="5">
        <v>43868</v>
      </c>
      <c r="C10" s="44">
        <v>27630</v>
      </c>
      <c r="D10" s="44">
        <v>27971</v>
      </c>
      <c r="E10" s="42">
        <f t="shared" si="0"/>
        <v>55601</v>
      </c>
      <c r="F10" s="3">
        <f t="shared" si="1"/>
        <v>-341</v>
      </c>
    </row>
    <row r="11" spans="1:6" x14ac:dyDescent="0.25">
      <c r="A11" s="6" t="str">
        <f t="shared" si="2"/>
        <v>SAT</v>
      </c>
      <c r="B11" s="5">
        <v>43869</v>
      </c>
      <c r="C11" s="44">
        <v>19898</v>
      </c>
      <c r="D11" s="44">
        <v>18961</v>
      </c>
      <c r="E11" s="42">
        <f t="shared" si="0"/>
        <v>38859</v>
      </c>
      <c r="F11" s="3">
        <f t="shared" si="1"/>
        <v>937</v>
      </c>
    </row>
    <row r="12" spans="1:6" x14ac:dyDescent="0.25">
      <c r="A12" s="6" t="str">
        <f t="shared" si="2"/>
        <v>SUN</v>
      </c>
      <c r="B12" s="5">
        <v>43870</v>
      </c>
      <c r="C12" s="44">
        <v>15796</v>
      </c>
      <c r="D12" s="44">
        <v>14649</v>
      </c>
      <c r="E12" s="42">
        <f t="shared" si="0"/>
        <v>30445</v>
      </c>
      <c r="F12" s="3">
        <f t="shared" si="1"/>
        <v>1147</v>
      </c>
    </row>
    <row r="13" spans="1:6" x14ac:dyDescent="0.25">
      <c r="A13" s="6" t="str">
        <f t="shared" si="2"/>
        <v>MON</v>
      </c>
      <c r="B13" s="5">
        <v>43871</v>
      </c>
      <c r="C13" s="44">
        <v>27468</v>
      </c>
      <c r="D13" s="44">
        <v>27337</v>
      </c>
      <c r="E13" s="42">
        <f t="shared" si="0"/>
        <v>54805</v>
      </c>
      <c r="F13" s="3">
        <f t="shared" si="1"/>
        <v>131</v>
      </c>
    </row>
    <row r="14" spans="1:6" x14ac:dyDescent="0.25">
      <c r="A14" s="6" t="str">
        <f t="shared" si="2"/>
        <v>TUE</v>
      </c>
      <c r="B14" s="5">
        <v>43872</v>
      </c>
      <c r="C14" s="44">
        <v>28358</v>
      </c>
      <c r="D14" s="44">
        <v>28208</v>
      </c>
      <c r="E14" s="42">
        <f t="shared" si="0"/>
        <v>56566</v>
      </c>
      <c r="F14" s="3">
        <f t="shared" si="1"/>
        <v>150</v>
      </c>
    </row>
    <row r="15" spans="1:6" x14ac:dyDescent="0.25">
      <c r="A15" s="6" t="str">
        <f t="shared" si="2"/>
        <v>WED</v>
      </c>
      <c r="B15" s="5">
        <v>43873</v>
      </c>
      <c r="C15" s="44">
        <v>30755</v>
      </c>
      <c r="D15" s="44">
        <v>28933</v>
      </c>
      <c r="E15" s="42">
        <f t="shared" si="0"/>
        <v>59688</v>
      </c>
      <c r="F15" s="3">
        <f t="shared" si="1"/>
        <v>1822</v>
      </c>
    </row>
    <row r="16" spans="1:6" x14ac:dyDescent="0.25">
      <c r="A16" s="6" t="str">
        <f t="shared" si="2"/>
        <v>THU</v>
      </c>
      <c r="B16" s="5">
        <v>43874</v>
      </c>
      <c r="C16" s="44">
        <v>30710</v>
      </c>
      <c r="D16" s="44">
        <v>27364</v>
      </c>
      <c r="E16" s="42">
        <f t="shared" si="0"/>
        <v>58074</v>
      </c>
      <c r="F16" s="3">
        <f t="shared" si="1"/>
        <v>3346</v>
      </c>
    </row>
    <row r="17" spans="1:6" x14ac:dyDescent="0.25">
      <c r="A17" s="6" t="str">
        <f t="shared" si="2"/>
        <v>FRI</v>
      </c>
      <c r="B17" s="5">
        <v>43875</v>
      </c>
      <c r="C17" s="44">
        <v>30719</v>
      </c>
      <c r="D17" s="44">
        <v>30450</v>
      </c>
      <c r="E17" s="42">
        <f t="shared" si="0"/>
        <v>61169</v>
      </c>
      <c r="F17" s="3">
        <f t="shared" si="1"/>
        <v>269</v>
      </c>
    </row>
    <row r="18" spans="1:6" x14ac:dyDescent="0.25">
      <c r="A18" s="6" t="str">
        <f t="shared" si="2"/>
        <v>SAT</v>
      </c>
      <c r="B18" s="5">
        <v>43876</v>
      </c>
      <c r="C18" s="44">
        <v>19141</v>
      </c>
      <c r="D18" s="44">
        <v>18487</v>
      </c>
      <c r="E18" s="42">
        <f t="shared" si="0"/>
        <v>37628</v>
      </c>
      <c r="F18" s="3">
        <f t="shared" si="1"/>
        <v>654</v>
      </c>
    </row>
    <row r="19" spans="1:6" x14ac:dyDescent="0.25">
      <c r="A19" s="6" t="str">
        <f t="shared" si="2"/>
        <v>SUN</v>
      </c>
      <c r="B19" s="5">
        <v>43877</v>
      </c>
      <c r="C19" s="44">
        <v>19626</v>
      </c>
      <c r="D19" s="44">
        <v>18193</v>
      </c>
      <c r="E19" s="42">
        <f t="shared" si="0"/>
        <v>37819</v>
      </c>
      <c r="F19" s="3">
        <f t="shared" si="1"/>
        <v>1433</v>
      </c>
    </row>
    <row r="20" spans="1:6" x14ac:dyDescent="0.25">
      <c r="A20" s="6" t="str">
        <f t="shared" si="2"/>
        <v>MON</v>
      </c>
      <c r="B20" s="5">
        <v>43878</v>
      </c>
      <c r="C20" s="44">
        <v>23965</v>
      </c>
      <c r="D20" s="44">
        <v>23515</v>
      </c>
      <c r="E20" s="42">
        <f t="shared" si="0"/>
        <v>47480</v>
      </c>
      <c r="F20" s="3">
        <f t="shared" si="1"/>
        <v>450</v>
      </c>
    </row>
    <row r="21" spans="1:6" x14ac:dyDescent="0.25">
      <c r="A21" s="6" t="str">
        <f t="shared" si="2"/>
        <v>TUE</v>
      </c>
      <c r="B21" s="5">
        <v>43879</v>
      </c>
      <c r="C21" s="44">
        <v>29610</v>
      </c>
      <c r="D21" s="44">
        <v>29622</v>
      </c>
      <c r="E21" s="42">
        <f t="shared" si="0"/>
        <v>59232</v>
      </c>
      <c r="F21" s="3">
        <f t="shared" si="1"/>
        <v>-12</v>
      </c>
    </row>
    <row r="22" spans="1:6" x14ac:dyDescent="0.25">
      <c r="A22" s="6" t="str">
        <f t="shared" si="2"/>
        <v>WED</v>
      </c>
      <c r="B22" s="5">
        <v>43880</v>
      </c>
      <c r="C22" s="44">
        <v>33242</v>
      </c>
      <c r="D22" s="44">
        <v>32926</v>
      </c>
      <c r="E22" s="42">
        <f t="shared" si="0"/>
        <v>66168</v>
      </c>
      <c r="F22" s="3">
        <f t="shared" si="1"/>
        <v>316</v>
      </c>
    </row>
    <row r="23" spans="1:6" x14ac:dyDescent="0.25">
      <c r="A23" s="6" t="str">
        <f t="shared" si="2"/>
        <v>THU</v>
      </c>
      <c r="B23" s="5">
        <v>43881</v>
      </c>
      <c r="C23" s="44">
        <v>30601</v>
      </c>
      <c r="D23" s="44">
        <v>30592</v>
      </c>
      <c r="E23" s="42">
        <f t="shared" si="0"/>
        <v>61193</v>
      </c>
      <c r="F23" s="3">
        <f t="shared" si="1"/>
        <v>9</v>
      </c>
    </row>
    <row r="24" spans="1:6" x14ac:dyDescent="0.25">
      <c r="A24" s="6" t="str">
        <f t="shared" si="2"/>
        <v>FRI</v>
      </c>
      <c r="B24" s="5">
        <v>43882</v>
      </c>
      <c r="C24" s="44">
        <v>29568</v>
      </c>
      <c r="D24" s="44">
        <v>29861</v>
      </c>
      <c r="E24" s="42">
        <f t="shared" si="0"/>
        <v>59429</v>
      </c>
      <c r="F24" s="3">
        <f t="shared" si="1"/>
        <v>-293</v>
      </c>
    </row>
    <row r="25" spans="1:6" x14ac:dyDescent="0.25">
      <c r="A25" s="6" t="str">
        <f t="shared" si="2"/>
        <v>SAT</v>
      </c>
      <c r="B25" s="5">
        <v>43883</v>
      </c>
      <c r="C25" s="44">
        <v>21343</v>
      </c>
      <c r="D25" s="44">
        <v>21091</v>
      </c>
      <c r="E25" s="42">
        <f t="shared" si="0"/>
        <v>42434</v>
      </c>
      <c r="F25" s="3">
        <f t="shared" si="1"/>
        <v>252</v>
      </c>
    </row>
    <row r="26" spans="1:6" x14ac:dyDescent="0.25">
      <c r="A26" s="6" t="str">
        <f t="shared" si="2"/>
        <v>SUN</v>
      </c>
      <c r="B26" s="5">
        <v>43884</v>
      </c>
      <c r="C26" s="44">
        <v>18351</v>
      </c>
      <c r="D26" s="44">
        <v>16946</v>
      </c>
      <c r="E26" s="42">
        <f t="shared" si="0"/>
        <v>35297</v>
      </c>
      <c r="F26" s="3">
        <f t="shared" si="1"/>
        <v>1405</v>
      </c>
    </row>
    <row r="27" spans="1:6" x14ac:dyDescent="0.25">
      <c r="A27" s="6" t="str">
        <f t="shared" si="2"/>
        <v>MON</v>
      </c>
      <c r="B27" s="5">
        <v>43885</v>
      </c>
      <c r="C27" s="44">
        <v>31227</v>
      </c>
      <c r="D27" s="44">
        <v>31173</v>
      </c>
      <c r="E27" s="42">
        <f t="shared" si="0"/>
        <v>62400</v>
      </c>
      <c r="F27" s="3">
        <f t="shared" si="1"/>
        <v>54</v>
      </c>
    </row>
    <row r="28" spans="1:6" x14ac:dyDescent="0.25">
      <c r="A28" s="6" t="str">
        <f t="shared" si="2"/>
        <v>TUE</v>
      </c>
      <c r="B28" s="5">
        <v>43886</v>
      </c>
      <c r="C28" s="44">
        <v>29325</v>
      </c>
      <c r="D28" s="44">
        <v>28949</v>
      </c>
      <c r="E28" s="42">
        <f t="shared" si="0"/>
        <v>58274</v>
      </c>
      <c r="F28" s="3">
        <f t="shared" si="1"/>
        <v>376</v>
      </c>
    </row>
    <row r="29" spans="1:6" x14ac:dyDescent="0.25">
      <c r="A29" s="6" t="str">
        <f t="shared" si="2"/>
        <v>WED</v>
      </c>
      <c r="B29" s="5">
        <v>43887</v>
      </c>
      <c r="C29" s="44">
        <v>28981</v>
      </c>
      <c r="D29" s="44">
        <v>28768</v>
      </c>
      <c r="E29" s="42">
        <f t="shared" si="0"/>
        <v>57749</v>
      </c>
      <c r="F29" s="3">
        <f t="shared" si="1"/>
        <v>213</v>
      </c>
    </row>
    <row r="30" spans="1:6" x14ac:dyDescent="0.25">
      <c r="A30" s="6" t="str">
        <f t="shared" si="2"/>
        <v>THU</v>
      </c>
      <c r="B30" s="5">
        <v>43888</v>
      </c>
      <c r="C30" s="44">
        <v>30112</v>
      </c>
      <c r="D30" s="44">
        <v>29934</v>
      </c>
      <c r="E30" s="42">
        <f t="shared" si="0"/>
        <v>60046</v>
      </c>
      <c r="F30" s="3">
        <f t="shared" si="1"/>
        <v>178</v>
      </c>
    </row>
    <row r="31" spans="1:6" x14ac:dyDescent="0.25">
      <c r="A31" s="6" t="str">
        <f t="shared" si="2"/>
        <v>FRI</v>
      </c>
      <c r="B31" s="5">
        <v>43889</v>
      </c>
      <c r="C31" s="44">
        <v>30278</v>
      </c>
      <c r="D31" s="44">
        <v>30842</v>
      </c>
      <c r="E31" s="42">
        <f t="shared" si="0"/>
        <v>61120</v>
      </c>
      <c r="F31" s="3">
        <f t="shared" si="1"/>
        <v>-564</v>
      </c>
    </row>
    <row r="32" spans="1:6" ht="14.4" thickBot="1" x14ac:dyDescent="0.3">
      <c r="A32" s="7" t="str">
        <f t="shared" si="2"/>
        <v>SAT</v>
      </c>
      <c r="B32" s="14">
        <v>43890</v>
      </c>
      <c r="C32" s="45">
        <v>18217</v>
      </c>
      <c r="D32" s="45">
        <v>17497</v>
      </c>
      <c r="E32" s="42">
        <f t="shared" si="0"/>
        <v>35714</v>
      </c>
      <c r="F32" s="3">
        <f t="shared" si="1"/>
        <v>720</v>
      </c>
    </row>
    <row r="33" spans="2:5" ht="14.4" thickBot="1" x14ac:dyDescent="0.3">
      <c r="B33" s="8" t="s">
        <v>6</v>
      </c>
      <c r="C33" s="31">
        <f>SUM(C4:C32)</f>
        <v>754214</v>
      </c>
      <c r="D33" s="31">
        <f>SUM(D4:D32)</f>
        <v>738678</v>
      </c>
      <c r="E33" s="27">
        <f>SUM(E4:E32)</f>
        <v>1492892</v>
      </c>
    </row>
    <row r="35" spans="2:5" ht="14.4" thickBot="1" x14ac:dyDescent="0.3"/>
    <row r="36" spans="2:5" ht="14.4" thickBot="1" x14ac:dyDescent="0.3">
      <c r="B36" s="51" t="s">
        <v>12</v>
      </c>
      <c r="C36" s="52"/>
      <c r="D36" s="52"/>
      <c r="E36" s="32">
        <f>E33</f>
        <v>1492892</v>
      </c>
    </row>
  </sheetData>
  <mergeCells count="2">
    <mergeCell ref="A2:E2"/>
    <mergeCell ref="B36:D36"/>
  </mergeCells>
  <pageMargins left="0.7" right="0.7" top="0.75" bottom="0.75" header="0.3" footer="0.3"/>
  <pageSetup orientation="portrait" r:id="rId1"/>
  <ignoredErrors>
    <ignoredError sqref="E4:E3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8"/>
  <sheetViews>
    <sheetView workbookViewId="0"/>
  </sheetViews>
  <sheetFormatPr defaultColWidth="9.109375" defaultRowHeight="13.8" x14ac:dyDescent="0.25"/>
  <cols>
    <col min="1" max="1" width="9.109375" style="2"/>
    <col min="2" max="2" width="14.6640625" style="2" customWidth="1"/>
    <col min="3" max="4" width="12.6640625" style="2" customWidth="1"/>
    <col min="5" max="5" width="12.6640625" style="3" customWidth="1"/>
    <col min="6" max="6" width="7.109375" style="2" customWidth="1"/>
    <col min="7" max="10" width="9.109375" style="2"/>
    <col min="11" max="11" width="11" style="2" bestFit="1" customWidth="1"/>
    <col min="12" max="16384" width="9.109375" style="2"/>
  </cols>
  <sheetData>
    <row r="1" spans="1:6" ht="14.4" thickBot="1" x14ac:dyDescent="0.3"/>
    <row r="2" spans="1:6" x14ac:dyDescent="0.25">
      <c r="A2" s="48" t="s">
        <v>5</v>
      </c>
      <c r="B2" s="49"/>
      <c r="C2" s="49"/>
      <c r="D2" s="49"/>
      <c r="E2" s="50"/>
      <c r="F2" s="4"/>
    </row>
    <row r="3" spans="1:6" ht="36.75" customHeight="1" thickBot="1" x14ac:dyDescent="0.3">
      <c r="A3" s="11" t="s">
        <v>0</v>
      </c>
      <c r="B3" s="12" t="s">
        <v>1</v>
      </c>
      <c r="C3" s="12" t="s">
        <v>2</v>
      </c>
      <c r="D3" s="12" t="s">
        <v>3</v>
      </c>
      <c r="E3" s="13" t="s">
        <v>4</v>
      </c>
      <c r="F3" s="1"/>
    </row>
    <row r="4" spans="1:6" x14ac:dyDescent="0.25">
      <c r="A4" s="20" t="str">
        <f t="shared" ref="A4:A23" si="0">CHOOSE(WEEKDAY(B4),"SUN","MON","TUE","WED","THU","FRI","SAT")</f>
        <v>MON</v>
      </c>
      <c r="B4" s="10">
        <v>43864</v>
      </c>
      <c r="C4" s="28">
        <v>30754</v>
      </c>
      <c r="D4" s="28">
        <v>30677</v>
      </c>
      <c r="E4" s="33">
        <f>SUM(C4:D4)</f>
        <v>61431</v>
      </c>
    </row>
    <row r="5" spans="1:6" x14ac:dyDescent="0.25">
      <c r="A5" s="21" t="str">
        <f t="shared" si="0"/>
        <v>TUE</v>
      </c>
      <c r="B5" s="5">
        <v>43865</v>
      </c>
      <c r="C5" s="29">
        <v>29587</v>
      </c>
      <c r="D5" s="29">
        <v>29178</v>
      </c>
      <c r="E5" s="33">
        <f t="shared" ref="E5:E23" si="1">SUM(C5:D5)</f>
        <v>58765</v>
      </c>
    </row>
    <row r="6" spans="1:6" x14ac:dyDescent="0.25">
      <c r="A6" s="21" t="str">
        <f t="shared" si="0"/>
        <v>WED</v>
      </c>
      <c r="B6" s="5">
        <v>43866</v>
      </c>
      <c r="C6" s="29">
        <v>29286</v>
      </c>
      <c r="D6" s="29">
        <v>28833</v>
      </c>
      <c r="E6" s="33">
        <f t="shared" si="1"/>
        <v>58119</v>
      </c>
    </row>
    <row r="7" spans="1:6" x14ac:dyDescent="0.25">
      <c r="A7" s="21" t="str">
        <f t="shared" si="0"/>
        <v>THU</v>
      </c>
      <c r="B7" s="5">
        <v>43867</v>
      </c>
      <c r="C7" s="29">
        <v>27772</v>
      </c>
      <c r="D7" s="29">
        <v>27596</v>
      </c>
      <c r="E7" s="33">
        <f t="shared" si="1"/>
        <v>55368</v>
      </c>
    </row>
    <row r="8" spans="1:6" x14ac:dyDescent="0.25">
      <c r="A8" s="21" t="str">
        <f t="shared" si="0"/>
        <v>FRI</v>
      </c>
      <c r="B8" s="5">
        <v>43868</v>
      </c>
      <c r="C8" s="29">
        <v>27630</v>
      </c>
      <c r="D8" s="29">
        <v>27971</v>
      </c>
      <c r="E8" s="33">
        <f t="shared" si="1"/>
        <v>55601</v>
      </c>
    </row>
    <row r="9" spans="1:6" x14ac:dyDescent="0.25">
      <c r="A9" s="21" t="str">
        <f t="shared" si="0"/>
        <v>MON</v>
      </c>
      <c r="B9" s="5">
        <v>43871</v>
      </c>
      <c r="C9" s="29">
        <v>27468</v>
      </c>
      <c r="D9" s="29">
        <v>27337</v>
      </c>
      <c r="E9" s="33">
        <f t="shared" si="1"/>
        <v>54805</v>
      </c>
    </row>
    <row r="10" spans="1:6" x14ac:dyDescent="0.25">
      <c r="A10" s="21" t="str">
        <f t="shared" si="0"/>
        <v>TUE</v>
      </c>
      <c r="B10" s="5">
        <v>43872</v>
      </c>
      <c r="C10" s="29">
        <v>28358</v>
      </c>
      <c r="D10" s="29">
        <v>28208</v>
      </c>
      <c r="E10" s="33">
        <f t="shared" si="1"/>
        <v>56566</v>
      </c>
    </row>
    <row r="11" spans="1:6" x14ac:dyDescent="0.25">
      <c r="A11" s="21" t="str">
        <f t="shared" si="0"/>
        <v>WED</v>
      </c>
      <c r="B11" s="5">
        <v>43873</v>
      </c>
      <c r="C11" s="29">
        <v>30755</v>
      </c>
      <c r="D11" s="29">
        <v>28933</v>
      </c>
      <c r="E11" s="33">
        <f t="shared" si="1"/>
        <v>59688</v>
      </c>
    </row>
    <row r="12" spans="1:6" x14ac:dyDescent="0.25">
      <c r="A12" s="21" t="str">
        <f t="shared" si="0"/>
        <v>THU</v>
      </c>
      <c r="B12" s="5">
        <v>43874</v>
      </c>
      <c r="C12" s="29">
        <v>30710</v>
      </c>
      <c r="D12" s="29">
        <v>27364</v>
      </c>
      <c r="E12" s="33">
        <f t="shared" si="1"/>
        <v>58074</v>
      </c>
    </row>
    <row r="13" spans="1:6" x14ac:dyDescent="0.25">
      <c r="A13" s="21" t="str">
        <f t="shared" si="0"/>
        <v>FRI</v>
      </c>
      <c r="B13" s="5">
        <v>43875</v>
      </c>
      <c r="C13" s="29">
        <v>30719</v>
      </c>
      <c r="D13" s="29">
        <v>30450</v>
      </c>
      <c r="E13" s="33">
        <f t="shared" si="1"/>
        <v>61169</v>
      </c>
    </row>
    <row r="14" spans="1:6" x14ac:dyDescent="0.25">
      <c r="A14" s="21" t="str">
        <f t="shared" si="0"/>
        <v>MON</v>
      </c>
      <c r="B14" s="5">
        <v>43878</v>
      </c>
      <c r="C14" s="29">
        <v>23965</v>
      </c>
      <c r="D14" s="29">
        <v>23515</v>
      </c>
      <c r="E14" s="33">
        <f t="shared" si="1"/>
        <v>47480</v>
      </c>
    </row>
    <row r="15" spans="1:6" x14ac:dyDescent="0.25">
      <c r="A15" s="21" t="str">
        <f t="shared" si="0"/>
        <v>TUE</v>
      </c>
      <c r="B15" s="5">
        <v>43879</v>
      </c>
      <c r="C15" s="29">
        <v>29610</v>
      </c>
      <c r="D15" s="29">
        <v>29622</v>
      </c>
      <c r="E15" s="33">
        <f t="shared" si="1"/>
        <v>59232</v>
      </c>
    </row>
    <row r="16" spans="1:6" x14ac:dyDescent="0.25">
      <c r="A16" s="21" t="str">
        <f t="shared" si="0"/>
        <v>WED</v>
      </c>
      <c r="B16" s="5">
        <v>43880</v>
      </c>
      <c r="C16" s="29">
        <v>33242</v>
      </c>
      <c r="D16" s="29">
        <v>32926</v>
      </c>
      <c r="E16" s="33">
        <f t="shared" si="1"/>
        <v>66168</v>
      </c>
    </row>
    <row r="17" spans="1:5" x14ac:dyDescent="0.25">
      <c r="A17" s="21" t="str">
        <f t="shared" si="0"/>
        <v>THU</v>
      </c>
      <c r="B17" s="5">
        <v>43881</v>
      </c>
      <c r="C17" s="29">
        <v>30601</v>
      </c>
      <c r="D17" s="29">
        <v>30592</v>
      </c>
      <c r="E17" s="33">
        <f t="shared" si="1"/>
        <v>61193</v>
      </c>
    </row>
    <row r="18" spans="1:5" x14ac:dyDescent="0.25">
      <c r="A18" s="21" t="str">
        <f t="shared" si="0"/>
        <v>FRI</v>
      </c>
      <c r="B18" s="5">
        <v>43882</v>
      </c>
      <c r="C18" s="29">
        <v>29568</v>
      </c>
      <c r="D18" s="29">
        <v>29861</v>
      </c>
      <c r="E18" s="33">
        <f t="shared" si="1"/>
        <v>59429</v>
      </c>
    </row>
    <row r="19" spans="1:5" x14ac:dyDescent="0.25">
      <c r="A19" s="21" t="str">
        <f t="shared" si="0"/>
        <v>MON</v>
      </c>
      <c r="B19" s="5">
        <v>43885</v>
      </c>
      <c r="C19" s="29">
        <v>31227</v>
      </c>
      <c r="D19" s="29">
        <v>31173</v>
      </c>
      <c r="E19" s="33">
        <f t="shared" si="1"/>
        <v>62400</v>
      </c>
    </row>
    <row r="20" spans="1:5" x14ac:dyDescent="0.25">
      <c r="A20" s="21" t="str">
        <f t="shared" si="0"/>
        <v>TUE</v>
      </c>
      <c r="B20" s="5">
        <v>43886</v>
      </c>
      <c r="C20" s="29">
        <v>29325</v>
      </c>
      <c r="D20" s="29">
        <v>28949</v>
      </c>
      <c r="E20" s="33">
        <f t="shared" si="1"/>
        <v>58274</v>
      </c>
    </row>
    <row r="21" spans="1:5" x14ac:dyDescent="0.25">
      <c r="A21" s="21" t="str">
        <f t="shared" si="0"/>
        <v>WED</v>
      </c>
      <c r="B21" s="5">
        <v>43887</v>
      </c>
      <c r="C21" s="29">
        <v>28981</v>
      </c>
      <c r="D21" s="29">
        <v>28768</v>
      </c>
      <c r="E21" s="33">
        <f t="shared" si="1"/>
        <v>57749</v>
      </c>
    </row>
    <row r="22" spans="1:5" x14ac:dyDescent="0.25">
      <c r="A22" s="21" t="str">
        <f t="shared" si="0"/>
        <v>THU</v>
      </c>
      <c r="B22" s="5">
        <v>43888</v>
      </c>
      <c r="C22" s="29">
        <v>30112</v>
      </c>
      <c r="D22" s="29">
        <v>29934</v>
      </c>
      <c r="E22" s="33">
        <f t="shared" si="1"/>
        <v>60046</v>
      </c>
    </row>
    <row r="23" spans="1:5" ht="14.4" thickBot="1" x14ac:dyDescent="0.3">
      <c r="A23" s="22" t="str">
        <f t="shared" si="0"/>
        <v>FRI</v>
      </c>
      <c r="B23" s="14">
        <v>43889</v>
      </c>
      <c r="C23" s="30">
        <v>30278</v>
      </c>
      <c r="D23" s="30">
        <v>30842</v>
      </c>
      <c r="E23" s="34">
        <f t="shared" si="1"/>
        <v>61120</v>
      </c>
    </row>
    <row r="24" spans="1:5" ht="14.4" thickBot="1" x14ac:dyDescent="0.3">
      <c r="B24" s="26" t="s">
        <v>6</v>
      </c>
      <c r="C24" s="31">
        <f>SUM(C4:C23)</f>
        <v>589948</v>
      </c>
      <c r="D24" s="31">
        <f>SUM(D4:D23)</f>
        <v>582729</v>
      </c>
      <c r="E24" s="27">
        <f>SUM(E4:E23)</f>
        <v>1172677</v>
      </c>
    </row>
    <row r="25" spans="1:5" ht="14.4" thickBot="1" x14ac:dyDescent="0.3"/>
    <row r="26" spans="1:5" ht="14.4" thickBot="1" x14ac:dyDescent="0.3">
      <c r="A26" s="51" t="s">
        <v>7</v>
      </c>
      <c r="B26" s="52"/>
      <c r="C26" s="52"/>
      <c r="D26" s="52"/>
      <c r="E26" s="32">
        <f>E24</f>
        <v>1172677</v>
      </c>
    </row>
    <row r="27" spans="1:5" ht="14.4" thickBot="1" x14ac:dyDescent="0.3">
      <c r="A27" s="53" t="s">
        <v>8</v>
      </c>
      <c r="B27" s="54"/>
      <c r="C27" s="54"/>
      <c r="D27" s="54"/>
      <c r="E27" s="35">
        <f>AVERAGE(E4:E23)</f>
        <v>58633.85</v>
      </c>
    </row>
    <row r="28" spans="1:5" x14ac:dyDescent="0.25">
      <c r="A28" s="61"/>
      <c r="B28" s="61"/>
      <c r="C28" s="61"/>
      <c r="D28" s="61"/>
      <c r="E28" s="62"/>
    </row>
    <row r="29" spans="1:5" x14ac:dyDescent="0.25">
      <c r="A29" s="61"/>
      <c r="B29" s="61"/>
      <c r="C29" s="61"/>
      <c r="D29" s="61"/>
      <c r="E29" s="62"/>
    </row>
    <row r="30" spans="1:5" x14ac:dyDescent="0.25">
      <c r="A30" s="61"/>
      <c r="B30" s="61"/>
      <c r="C30" s="61"/>
      <c r="D30" s="61"/>
      <c r="E30" s="62"/>
    </row>
    <row r="31" spans="1:5" x14ac:dyDescent="0.25">
      <c r="A31" s="61"/>
      <c r="B31" s="61"/>
      <c r="C31" s="61"/>
      <c r="D31" s="61"/>
      <c r="E31" s="62"/>
    </row>
    <row r="32" spans="1:5" x14ac:dyDescent="0.25">
      <c r="A32" s="61"/>
      <c r="B32" s="61"/>
      <c r="C32" s="61"/>
      <c r="D32" s="61"/>
      <c r="E32" s="62"/>
    </row>
    <row r="33" spans="1:5" ht="14.4" thickBot="1" x14ac:dyDescent="0.3"/>
    <row r="34" spans="1:5" ht="14.4" thickBot="1" x14ac:dyDescent="0.3">
      <c r="A34" s="55" t="s">
        <v>9</v>
      </c>
      <c r="B34" s="56"/>
      <c r="C34" s="56"/>
      <c r="D34" s="56"/>
      <c r="E34" s="57"/>
    </row>
    <row r="35" spans="1:5" ht="28.2" thickBot="1" x14ac:dyDescent="0.3">
      <c r="A35" s="15" t="s">
        <v>0</v>
      </c>
      <c r="B35" s="16" t="s">
        <v>1</v>
      </c>
      <c r="C35" s="16" t="s">
        <v>2</v>
      </c>
      <c r="D35" s="16" t="s">
        <v>3</v>
      </c>
      <c r="E35" s="17" t="s">
        <v>4</v>
      </c>
    </row>
    <row r="36" spans="1:5" x14ac:dyDescent="0.25">
      <c r="A36" s="18" t="s">
        <v>13</v>
      </c>
      <c r="B36" s="19">
        <v>43862</v>
      </c>
      <c r="C36" s="36">
        <v>17232</v>
      </c>
      <c r="D36" s="36">
        <v>16851</v>
      </c>
      <c r="E36" s="37">
        <f>SUM(C36:D36)</f>
        <v>34083</v>
      </c>
    </row>
    <row r="37" spans="1:5" x14ac:dyDescent="0.25">
      <c r="A37" s="9" t="str">
        <f t="shared" ref="A37:A43" si="2">CHOOSE(WEEKDAY(B37),"SUN","MON","TUE","WED","THU","FRI","SAT")</f>
        <v>SUN</v>
      </c>
      <c r="B37" s="10">
        <v>43863</v>
      </c>
      <c r="C37" s="38">
        <v>14662</v>
      </c>
      <c r="D37" s="38">
        <v>13274</v>
      </c>
      <c r="E37" s="37">
        <f t="shared" ref="E37:E44" si="3">SUM(C37:D37)</f>
        <v>27936</v>
      </c>
    </row>
    <row r="38" spans="1:5" x14ac:dyDescent="0.25">
      <c r="A38" s="6" t="str">
        <f t="shared" si="2"/>
        <v>SAT</v>
      </c>
      <c r="B38" s="5">
        <v>43869</v>
      </c>
      <c r="C38" s="38">
        <v>19898</v>
      </c>
      <c r="D38" s="38">
        <v>18961</v>
      </c>
      <c r="E38" s="37">
        <f t="shared" si="3"/>
        <v>38859</v>
      </c>
    </row>
    <row r="39" spans="1:5" x14ac:dyDescent="0.25">
      <c r="A39" s="6" t="str">
        <f t="shared" si="2"/>
        <v>SUN</v>
      </c>
      <c r="B39" s="5">
        <v>43870</v>
      </c>
      <c r="C39" s="38">
        <v>15796</v>
      </c>
      <c r="D39" s="38">
        <v>14649</v>
      </c>
      <c r="E39" s="37">
        <f t="shared" si="3"/>
        <v>30445</v>
      </c>
    </row>
    <row r="40" spans="1:5" x14ac:dyDescent="0.25">
      <c r="A40" s="6" t="str">
        <f t="shared" si="2"/>
        <v>SAT</v>
      </c>
      <c r="B40" s="5">
        <v>43876</v>
      </c>
      <c r="C40" s="38">
        <v>19141</v>
      </c>
      <c r="D40" s="38">
        <v>18487</v>
      </c>
      <c r="E40" s="37">
        <f t="shared" si="3"/>
        <v>37628</v>
      </c>
    </row>
    <row r="41" spans="1:5" x14ac:dyDescent="0.25">
      <c r="A41" s="6" t="str">
        <f t="shared" si="2"/>
        <v>SUN</v>
      </c>
      <c r="B41" s="5">
        <v>43877</v>
      </c>
      <c r="C41" s="38">
        <v>19626</v>
      </c>
      <c r="D41" s="38">
        <v>18193</v>
      </c>
      <c r="E41" s="37">
        <f t="shared" si="3"/>
        <v>37819</v>
      </c>
    </row>
    <row r="42" spans="1:5" x14ac:dyDescent="0.25">
      <c r="A42" s="6" t="str">
        <f t="shared" si="2"/>
        <v>SAT</v>
      </c>
      <c r="B42" s="5">
        <v>43883</v>
      </c>
      <c r="C42" s="38">
        <v>21343</v>
      </c>
      <c r="D42" s="38">
        <v>21091</v>
      </c>
      <c r="E42" s="37">
        <f t="shared" si="3"/>
        <v>42434</v>
      </c>
    </row>
    <row r="43" spans="1:5" x14ac:dyDescent="0.25">
      <c r="A43" s="6" t="str">
        <f t="shared" si="2"/>
        <v>SUN</v>
      </c>
      <c r="B43" s="5">
        <v>43884</v>
      </c>
      <c r="C43" s="38">
        <v>18351</v>
      </c>
      <c r="D43" s="38">
        <v>16946</v>
      </c>
      <c r="E43" s="37">
        <f t="shared" si="3"/>
        <v>35297</v>
      </c>
    </row>
    <row r="44" spans="1:5" ht="14.4" thickBot="1" x14ac:dyDescent="0.3">
      <c r="A44" s="7" t="str">
        <f t="shared" ref="A44" si="4">CHOOSE(WEEKDAY(B44),"SUN","MON","TUE","WED","THU","FRI","SAT")</f>
        <v>SAT</v>
      </c>
      <c r="B44" s="14">
        <v>43890</v>
      </c>
      <c r="C44" s="39">
        <v>18217</v>
      </c>
      <c r="D44" s="39">
        <v>17497</v>
      </c>
      <c r="E44" s="40">
        <f t="shared" si="3"/>
        <v>35714</v>
      </c>
    </row>
    <row r="45" spans="1:5" ht="14.4" thickBot="1" x14ac:dyDescent="0.3">
      <c r="B45" s="26" t="s">
        <v>6</v>
      </c>
      <c r="C45" s="41">
        <f>SUM(C36:C44)</f>
        <v>164266</v>
      </c>
      <c r="D45" s="41">
        <f>SUM(D36:D44)</f>
        <v>155949</v>
      </c>
      <c r="E45" s="27">
        <f>SUM(E36:E44)</f>
        <v>320215</v>
      </c>
    </row>
    <row r="46" spans="1:5" ht="14.4" thickBot="1" x14ac:dyDescent="0.3"/>
    <row r="47" spans="1:5" ht="14.4" thickBot="1" x14ac:dyDescent="0.3">
      <c r="A47" s="46" t="s">
        <v>10</v>
      </c>
      <c r="B47" s="47"/>
      <c r="C47" s="47"/>
      <c r="D47" s="47"/>
      <c r="E47" s="25">
        <f>AVERAGE(E36,E38,E40,E42,E44)</f>
        <v>37743.599999999999</v>
      </c>
    </row>
    <row r="48" spans="1:5" ht="14.4" thickBot="1" x14ac:dyDescent="0.3">
      <c r="A48" s="46" t="s">
        <v>11</v>
      </c>
      <c r="B48" s="47"/>
      <c r="C48" s="47"/>
      <c r="D48" s="47"/>
      <c r="E48" s="25">
        <f>AVERAGE(E37,E39,E41,E43)</f>
        <v>32874.25</v>
      </c>
    </row>
  </sheetData>
  <mergeCells count="6">
    <mergeCell ref="A48:D48"/>
    <mergeCell ref="A2:E2"/>
    <mergeCell ref="A26:D26"/>
    <mergeCell ref="A27:D27"/>
    <mergeCell ref="A34:E34"/>
    <mergeCell ref="A47:D47"/>
  </mergeCells>
  <pageMargins left="0.7" right="0.7" top="0.75" bottom="0.75" header="0.3" footer="0.3"/>
  <ignoredErrors>
    <ignoredError sqref="E4:E23 E36:E44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AE8379B00F7343AA85C9CCF3ABC79C" ma:contentTypeVersion="9" ma:contentTypeDescription="Create a new document." ma:contentTypeScope="" ma:versionID="08fbae0c7f9a8e2444046f9c4a1f6255">
  <xsd:schema xmlns:xsd="http://www.w3.org/2001/XMLSchema" xmlns:xs="http://www.w3.org/2001/XMLSchema" xmlns:p="http://schemas.microsoft.com/office/2006/metadata/properties" xmlns:ns1="http://schemas.microsoft.com/sharepoint/v3" xmlns:ns2="670d3029-f9df-404e-98fc-7004dcdec636" xmlns:ns3="5f7ac3ca-9ce0-489a-bc70-1e3f2f642f01" targetNamespace="http://schemas.microsoft.com/office/2006/metadata/properties" ma:root="true" ma:fieldsID="eee80be5f8846f68db7a88c41e92a792" ns1:_="" ns2:_="" ns3:_="">
    <xsd:import namespace="http://schemas.microsoft.com/sharepoint/v3"/>
    <xsd:import namespace="670d3029-f9df-404e-98fc-7004dcdec636"/>
    <xsd:import namespace="5f7ac3ca-9ce0-489a-bc70-1e3f2f642f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0d3029-f9df-404e-98fc-7004dcdec6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7ac3ca-9ce0-489a-bc70-1e3f2f642f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D4B00C0E-CB5E-45C2-BF27-15F9435808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388A168-4CAF-4E94-9A92-29A4F64112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70d3029-f9df-404e-98fc-7004dcdec636"/>
    <ds:schemaRef ds:uri="5f7ac3ca-9ce0-489a-bc70-1e3f2f642f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0770717-F00D-41B5-A2E5-29019F7DA27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Weekday-Weekend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James-Young, Jean</dc:creator>
  <cp:lastModifiedBy>Lucy Santana</cp:lastModifiedBy>
  <dcterms:created xsi:type="dcterms:W3CDTF">2020-03-27T14:22:57Z</dcterms:created>
  <dcterms:modified xsi:type="dcterms:W3CDTF">2026-04-07T21:00:17Z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0x01010056AE8379B00F7343AA85C9CCF3ABC79C</vt:lpwstr>
  </property>
</Properties>
</file>