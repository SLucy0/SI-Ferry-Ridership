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0C09EACF-57B2-4DD3-A996-368AA9D3D942}" xr6:coauthVersionLast="47" xr6:coauthVersionMax="47" xr10:uidLastSave="{00000000-0000-0000-0000-000000000000}"/>
  <bookViews>
    <workbookView xWindow="-108" yWindow="-108" windowWidth="23256" windowHeight="13896" xr2:uid="{A6F3420D-F3FB-44B2-877D-A99BA859313E}"/>
  </bookViews>
  <sheets>
    <sheet name="TOTALS" sheetId="1" r:id="rId1"/>
    <sheet name="Weekday-Weeken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E24" i="3"/>
  <c r="E44" i="3"/>
  <c r="D45" i="3"/>
  <c r="E23" i="3"/>
  <c r="D27" i="3"/>
  <c r="E40" i="3"/>
  <c r="E12" i="3"/>
  <c r="E11" i="3"/>
  <c r="E9" i="3"/>
  <c r="E8" i="3"/>
  <c r="E7" i="3"/>
  <c r="E6" i="3"/>
  <c r="E30" i="3" s="1"/>
  <c r="C38" i="1"/>
  <c r="D38" i="1"/>
  <c r="E21" i="3"/>
  <c r="E20" i="3"/>
  <c r="E42" i="3"/>
  <c r="E41" i="3"/>
  <c r="E18" i="3"/>
  <c r="E15" i="3"/>
  <c r="E10" i="3"/>
  <c r="E38" i="3"/>
  <c r="E5" i="3"/>
  <c r="E37" i="1"/>
  <c r="E38" i="1" s="1"/>
  <c r="E40" i="1" s="1"/>
  <c r="E43" i="3"/>
  <c r="E16" i="3"/>
  <c r="E17" i="3"/>
  <c r="E19" i="3"/>
  <c r="E25" i="3"/>
  <c r="E26" i="3"/>
  <c r="E22" i="3"/>
  <c r="E14" i="3"/>
  <c r="E37" i="3"/>
  <c r="E39" i="3"/>
  <c r="E13" i="3"/>
  <c r="C45" i="3"/>
  <c r="E27" i="3" l="1"/>
  <c r="E29" i="3" s="1"/>
  <c r="E49" i="3"/>
  <c r="E50" i="3"/>
  <c r="E45" i="3"/>
  <c r="E47" i="3" s="1"/>
</calcChain>
</file>

<file path=xl/sharedStrings.xml><?xml version="1.0" encoding="utf-8"?>
<sst xmlns="http://schemas.openxmlformats.org/spreadsheetml/2006/main" count="102" uniqueCount="28">
  <si>
    <t xml:space="preserve">       April 2025 Staten Island Ferry Ridership</t>
  </si>
  <si>
    <t>Day</t>
  </si>
  <si>
    <t>Date</t>
  </si>
  <si>
    <t>WHT</t>
  </si>
  <si>
    <t>STG</t>
  </si>
  <si>
    <t>Combined TOTAL</t>
  </si>
  <si>
    <t>TUE</t>
  </si>
  <si>
    <t>Eid Al-Fitr</t>
  </si>
  <si>
    <t>WED</t>
  </si>
  <si>
    <t>THU</t>
  </si>
  <si>
    <t>FRI</t>
  </si>
  <si>
    <t>SAT</t>
  </si>
  <si>
    <t>SUN</t>
  </si>
  <si>
    <t>MON</t>
  </si>
  <si>
    <t>Passover</t>
  </si>
  <si>
    <t>Holy Thursday</t>
  </si>
  <si>
    <t>Good Friday</t>
  </si>
  <si>
    <t>Car Free Earth Day</t>
  </si>
  <si>
    <t>TOTALS:</t>
  </si>
  <si>
    <t xml:space="preserve">PASSENGER COUNT TOTAL:  </t>
  </si>
  <si>
    <t xml:space="preserve">April 2025:  WEEKDAY TOTALS </t>
  </si>
  <si>
    <t xml:space="preserve">Total Weekday Pax Count April 2025: </t>
  </si>
  <si>
    <t xml:space="preserve">Average Passengers/Weekday: </t>
  </si>
  <si>
    <t xml:space="preserve">April 2025:  WEEKEND TOTALS </t>
  </si>
  <si>
    <t>.</t>
  </si>
  <si>
    <t xml:space="preserve">Total Weekend Pax Count April 2025: </t>
  </si>
  <si>
    <t xml:space="preserve">Average Saturday Passengers: </t>
  </si>
  <si>
    <t xml:space="preserve">Average Sunday Passengers: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</si>
</sst>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Arial"/>
      <family val="2"/>
    </font>
    <font>
      <i/>
      <sz val="11"/>
      <name val="Calibri"/>
      <family val="2"/>
    </font>
    <font>
      <i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center"/>
    </xf>
    <xf numFmtId="41" fontId="4" fillId="2" borderId="1" xfId="0" applyNumberFormat="1" applyFont="1" applyFill="1" applyBorder="1" applyAlignment="1">
      <alignment horizontal="center"/>
    </xf>
    <xf numFmtId="37" fontId="4" fillId="2" borderId="1" xfId="0" applyNumberFormat="1" applyFont="1" applyFill="1" applyBorder="1" applyAlignment="1">
      <alignment horizontal="right"/>
    </xf>
    <xf numFmtId="37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164" fontId="7" fillId="0" borderId="1" xfId="1" applyNumberFormat="1" applyFont="1" applyBorder="1" applyAlignment="1"/>
    <xf numFmtId="164" fontId="7" fillId="0" borderId="1" xfId="1" applyNumberFormat="1" applyFont="1" applyBorder="1" applyAlignment="1">
      <alignment horizontal="left"/>
    </xf>
    <xf numFmtId="41" fontId="4" fillId="2" borderId="1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7" fillId="0" borderId="1" xfId="1" applyNumberFormat="1" applyFont="1" applyBorder="1" applyAlignment="1">
      <alignment vertical="center"/>
    </xf>
    <xf numFmtId="41" fontId="4" fillId="2" borderId="2" xfId="0" applyNumberFormat="1" applyFont="1" applyFill="1" applyBorder="1" applyAlignment="1">
      <alignment vertical="center"/>
    </xf>
    <xf numFmtId="41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41" fontId="4" fillId="2" borderId="3" xfId="0" applyNumberFormat="1" applyFont="1" applyFill="1" applyBorder="1" applyAlignment="1">
      <alignment vertical="center"/>
    </xf>
    <xf numFmtId="164" fontId="7" fillId="0" borderId="1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164" fontId="7" fillId="0" borderId="1" xfId="1" applyNumberFormat="1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164" fontId="7" fillId="0" borderId="4" xfId="1" applyNumberFormat="1" applyFont="1" applyBorder="1" applyAlignment="1">
      <alignment vertical="center"/>
    </xf>
    <xf numFmtId="164" fontId="3" fillId="0" borderId="1" xfId="1" applyNumberFormat="1" applyFont="1" applyBorder="1"/>
    <xf numFmtId="164" fontId="3" fillId="0" borderId="1" xfId="1" applyNumberFormat="1" applyFont="1" applyFill="1" applyBorder="1" applyAlignment="1">
      <alignment horizontal="right"/>
    </xf>
    <xf numFmtId="0" fontId="3" fillId="0" borderId="5" xfId="0" applyFont="1" applyBorder="1" applyAlignment="1">
      <alignment horizontal="center"/>
    </xf>
    <xf numFmtId="164" fontId="3" fillId="0" borderId="6" xfId="1" applyNumberFormat="1" applyFont="1" applyFill="1" applyBorder="1" applyAlignment="1">
      <alignment vertical="center"/>
    </xf>
    <xf numFmtId="164" fontId="3" fillId="0" borderId="6" xfId="1" applyNumberFormat="1" applyFont="1" applyFill="1" applyBorder="1" applyAlignment="1">
      <alignment horizontal="right"/>
    </xf>
    <xf numFmtId="41" fontId="4" fillId="2" borderId="7" xfId="0" applyNumberFormat="1" applyFont="1" applyFill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164" fontId="3" fillId="0" borderId="0" xfId="1" applyNumberFormat="1" applyFont="1"/>
    <xf numFmtId="17" fontId="5" fillId="3" borderId="8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 vertical="center"/>
    </xf>
    <xf numFmtId="0" fontId="3" fillId="0" borderId="5" xfId="0" applyFont="1" applyBorder="1"/>
    <xf numFmtId="0" fontId="6" fillId="4" borderId="13" xfId="0" applyFont="1" applyFill="1" applyBorder="1" applyAlignment="1">
      <alignment horizontal="center" vertical="center"/>
    </xf>
    <xf numFmtId="0" fontId="3" fillId="0" borderId="1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14" fontId="4" fillId="2" borderId="16" xfId="0" applyNumberFormat="1" applyFont="1" applyFill="1" applyBorder="1" applyAlignment="1">
      <alignment horizontal="center"/>
    </xf>
    <xf numFmtId="14" fontId="4" fillId="2" borderId="17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top" wrapText="1"/>
    </xf>
    <xf numFmtId="14" fontId="4" fillId="2" borderId="1" xfId="0" applyNumberFormat="1" applyFont="1" applyFill="1" applyBorder="1" applyAlignment="1">
      <alignment horizontal="center"/>
    </xf>
    <xf numFmtId="41" fontId="4" fillId="2" borderId="1" xfId="0" applyNumberFormat="1" applyFont="1" applyFill="1" applyBorder="1" applyAlignment="1">
      <alignment horizontal="right"/>
    </xf>
    <xf numFmtId="0" fontId="9" fillId="0" borderId="18" xfId="0" applyFont="1" applyBorder="1" applyAlignment="1">
      <alignment horizontal="left" vertical="center"/>
    </xf>
    <xf numFmtId="41" fontId="4" fillId="2" borderId="0" xfId="0" applyNumberFormat="1" applyFont="1" applyFill="1" applyBorder="1" applyAlignment="1">
      <alignment horizontal="right"/>
    </xf>
    <xf numFmtId="37" fontId="4" fillId="2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190501</xdr:colOff>
      <xdr:row>2</xdr:row>
      <xdr:rowOff>133350</xdr:rowOff>
    </xdr:to>
    <xdr:pic>
      <xdr:nvPicPr>
        <xdr:cNvPr id="6183" name="Picture 31" descr="DOT%20Logo_green">
          <a:extLst>
            <a:ext uri="{FF2B5EF4-FFF2-40B4-BE49-F238E27FC236}">
              <a16:creationId xmlns:a16="http://schemas.microsoft.com/office/drawing/2014/main" id="{8B7C905E-9370-4497-D42A-B0C3D3DE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712D-C373-4A28-A8F6-278524E3C052}">
  <dimension ref="A1:F40"/>
  <sheetViews>
    <sheetView tabSelected="1" zoomScale="90" zoomScaleNormal="90" workbookViewId="0">
      <selection activeCell="A5" sqref="A5:A6"/>
    </sheetView>
  </sheetViews>
  <sheetFormatPr defaultColWidth="9.109375" defaultRowHeight="14.4" x14ac:dyDescent="0.3"/>
  <cols>
    <col min="1" max="1" width="9.109375" style="1" customWidth="1"/>
    <col min="2" max="2" width="13.44140625" style="1" customWidth="1"/>
    <col min="3" max="4" width="12.33203125" style="15" customWidth="1"/>
    <col min="5" max="5" width="16.33203125" style="15" customWidth="1"/>
    <col min="6" max="6" width="18.88671875" style="35" customWidth="1"/>
    <col min="7" max="8" width="9.109375" style="1"/>
    <col min="9" max="9" width="9.6640625" style="1" bestFit="1" customWidth="1"/>
    <col min="10" max="16384" width="9.109375" style="1"/>
  </cols>
  <sheetData>
    <row r="1" spans="1:6" ht="12.75" customHeight="1" x14ac:dyDescent="0.3"/>
    <row r="2" spans="1:6" x14ac:dyDescent="0.3">
      <c r="A2" s="2"/>
      <c r="B2" s="2" t="s">
        <v>0</v>
      </c>
      <c r="C2" s="16"/>
      <c r="D2" s="16"/>
      <c r="E2" s="16"/>
    </row>
    <row r="3" spans="1:6" ht="15" customHeight="1" thickBot="1" x14ac:dyDescent="0.35"/>
    <row r="4" spans="1:6" ht="15" thickBot="1" x14ac:dyDescent="0.35">
      <c r="A4" s="39">
        <v>45748</v>
      </c>
      <c r="B4" s="40"/>
      <c r="C4" s="40"/>
      <c r="D4" s="40"/>
      <c r="E4" s="40"/>
    </row>
    <row r="5" spans="1:6" x14ac:dyDescent="0.3">
      <c r="A5" s="43" t="s">
        <v>1</v>
      </c>
      <c r="B5" s="45" t="s">
        <v>2</v>
      </c>
      <c r="C5" s="47" t="s">
        <v>3</v>
      </c>
      <c r="D5" s="45" t="s">
        <v>4</v>
      </c>
      <c r="E5" s="49" t="s">
        <v>5</v>
      </c>
    </row>
    <row r="6" spans="1:6" x14ac:dyDescent="0.3">
      <c r="A6" s="44"/>
      <c r="B6" s="46"/>
      <c r="C6" s="48"/>
      <c r="D6" s="48"/>
      <c r="E6" s="50"/>
    </row>
    <row r="7" spans="1:6" x14ac:dyDescent="0.3">
      <c r="A7" s="31" t="s">
        <v>6</v>
      </c>
      <c r="B7" s="6">
        <v>45748</v>
      </c>
      <c r="C7" s="17">
        <v>22888</v>
      </c>
      <c r="D7" s="17">
        <v>22800</v>
      </c>
      <c r="E7" s="32">
        <v>45688</v>
      </c>
      <c r="F7" s="35" t="s">
        <v>7</v>
      </c>
    </row>
    <row r="8" spans="1:6" x14ac:dyDescent="0.3">
      <c r="A8" s="31" t="s">
        <v>8</v>
      </c>
      <c r="B8" s="6">
        <v>45749</v>
      </c>
      <c r="C8" s="22">
        <v>22462</v>
      </c>
      <c r="D8" s="22">
        <v>22420</v>
      </c>
      <c r="E8" s="32">
        <v>44882</v>
      </c>
    </row>
    <row r="9" spans="1:6" x14ac:dyDescent="0.3">
      <c r="A9" s="31" t="s">
        <v>9</v>
      </c>
      <c r="B9" s="6">
        <v>45750</v>
      </c>
      <c r="C9" s="23">
        <v>22315</v>
      </c>
      <c r="D9" s="23">
        <v>22609</v>
      </c>
      <c r="E9" s="32">
        <v>44924</v>
      </c>
    </row>
    <row r="10" spans="1:6" x14ac:dyDescent="0.3">
      <c r="A10" s="31" t="s">
        <v>10</v>
      </c>
      <c r="B10" s="6">
        <v>45751</v>
      </c>
      <c r="C10" s="26">
        <v>24497</v>
      </c>
      <c r="D10" s="26">
        <v>24818</v>
      </c>
      <c r="E10" s="32">
        <v>49315</v>
      </c>
    </row>
    <row r="11" spans="1:6" x14ac:dyDescent="0.3">
      <c r="A11" s="31" t="s">
        <v>11</v>
      </c>
      <c r="B11" s="6">
        <v>45752</v>
      </c>
      <c r="C11" s="22">
        <v>17528</v>
      </c>
      <c r="D11" s="22">
        <v>17317</v>
      </c>
      <c r="E11" s="32">
        <v>34845</v>
      </c>
    </row>
    <row r="12" spans="1:6" x14ac:dyDescent="0.3">
      <c r="A12" s="31" t="s">
        <v>12</v>
      </c>
      <c r="B12" s="6">
        <v>45753</v>
      </c>
      <c r="C12" s="17">
        <v>16122</v>
      </c>
      <c r="D12" s="17">
        <v>15496</v>
      </c>
      <c r="E12" s="32">
        <v>31618</v>
      </c>
    </row>
    <row r="13" spans="1:6" x14ac:dyDescent="0.3">
      <c r="A13" s="31" t="s">
        <v>13</v>
      </c>
      <c r="B13" s="6">
        <v>45754</v>
      </c>
      <c r="C13" s="17">
        <v>19807</v>
      </c>
      <c r="D13" s="17">
        <v>19779</v>
      </c>
      <c r="E13" s="32">
        <v>39586</v>
      </c>
    </row>
    <row r="14" spans="1:6" x14ac:dyDescent="0.3">
      <c r="A14" s="31" t="s">
        <v>6</v>
      </c>
      <c r="B14" s="6">
        <v>45755</v>
      </c>
      <c r="C14" s="17">
        <v>23678</v>
      </c>
      <c r="D14" s="17">
        <v>23459</v>
      </c>
      <c r="E14" s="32">
        <v>47137</v>
      </c>
    </row>
    <row r="15" spans="1:6" x14ac:dyDescent="0.3">
      <c r="A15" s="31" t="s">
        <v>8</v>
      </c>
      <c r="B15" s="6">
        <v>45756</v>
      </c>
      <c r="C15" s="17">
        <v>25040</v>
      </c>
      <c r="D15" s="17">
        <v>25103</v>
      </c>
      <c r="E15" s="32">
        <v>50143</v>
      </c>
    </row>
    <row r="16" spans="1:6" x14ac:dyDescent="0.3">
      <c r="A16" s="31" t="s">
        <v>9</v>
      </c>
      <c r="B16" s="6">
        <v>45757</v>
      </c>
      <c r="C16" s="17">
        <v>23180</v>
      </c>
      <c r="D16" s="17">
        <v>23635</v>
      </c>
      <c r="E16" s="32">
        <v>46815</v>
      </c>
    </row>
    <row r="17" spans="1:6" x14ac:dyDescent="0.3">
      <c r="A17" s="31" t="s">
        <v>10</v>
      </c>
      <c r="B17" s="6">
        <v>45758</v>
      </c>
      <c r="C17" s="17">
        <v>20581</v>
      </c>
      <c r="D17" s="17">
        <v>20765</v>
      </c>
      <c r="E17" s="32">
        <v>41346</v>
      </c>
    </row>
    <row r="18" spans="1:6" x14ac:dyDescent="0.3">
      <c r="A18" s="31" t="s">
        <v>11</v>
      </c>
      <c r="B18" s="6">
        <v>45759</v>
      </c>
      <c r="C18" s="17">
        <v>14542</v>
      </c>
      <c r="D18" s="17">
        <v>15235</v>
      </c>
      <c r="E18" s="32">
        <v>29777</v>
      </c>
    </row>
    <row r="19" spans="1:6" x14ac:dyDescent="0.25">
      <c r="A19" s="31" t="s">
        <v>12</v>
      </c>
      <c r="B19" s="6">
        <v>45760</v>
      </c>
      <c r="C19" s="17">
        <v>21581</v>
      </c>
      <c r="D19" s="17">
        <v>20852</v>
      </c>
      <c r="E19" s="32">
        <v>42433</v>
      </c>
      <c r="F19" s="36" t="s">
        <v>14</v>
      </c>
    </row>
    <row r="20" spans="1:6" x14ac:dyDescent="0.25">
      <c r="A20" s="31" t="s">
        <v>13</v>
      </c>
      <c r="B20" s="6">
        <v>45761</v>
      </c>
      <c r="C20" s="12">
        <v>31936</v>
      </c>
      <c r="D20" s="13">
        <v>31580</v>
      </c>
      <c r="E20" s="32">
        <v>63516</v>
      </c>
      <c r="F20" s="36" t="s">
        <v>14</v>
      </c>
    </row>
    <row r="21" spans="1:6" x14ac:dyDescent="0.3">
      <c r="A21" s="31" t="s">
        <v>6</v>
      </c>
      <c r="B21" s="6">
        <v>45762</v>
      </c>
      <c r="C21" s="24">
        <v>30677</v>
      </c>
      <c r="D21" s="24">
        <v>30889</v>
      </c>
      <c r="E21" s="32">
        <v>61566</v>
      </c>
    </row>
    <row r="22" spans="1:6" x14ac:dyDescent="0.3">
      <c r="A22" s="31" t="s">
        <v>8</v>
      </c>
      <c r="B22" s="6">
        <v>45763</v>
      </c>
      <c r="C22" s="17">
        <v>25867</v>
      </c>
      <c r="D22" s="17">
        <v>26200</v>
      </c>
      <c r="E22" s="32">
        <v>52067</v>
      </c>
    </row>
    <row r="23" spans="1:6" x14ac:dyDescent="0.3">
      <c r="A23" s="31" t="s">
        <v>9</v>
      </c>
      <c r="B23" s="6">
        <v>45764</v>
      </c>
      <c r="C23" s="22">
        <v>35904</v>
      </c>
      <c r="D23" s="22">
        <v>35802</v>
      </c>
      <c r="E23" s="32">
        <v>71706</v>
      </c>
      <c r="F23" s="35" t="s">
        <v>15</v>
      </c>
    </row>
    <row r="24" spans="1:6" x14ac:dyDescent="0.25">
      <c r="A24" s="31" t="s">
        <v>10</v>
      </c>
      <c r="B24" s="6">
        <v>45765</v>
      </c>
      <c r="C24" s="25">
        <v>32008</v>
      </c>
      <c r="D24" s="25">
        <v>31490</v>
      </c>
      <c r="E24" s="32">
        <v>63498</v>
      </c>
      <c r="F24" s="36" t="s">
        <v>16</v>
      </c>
    </row>
    <row r="25" spans="1:6" x14ac:dyDescent="0.25">
      <c r="A25" s="31" t="s">
        <v>11</v>
      </c>
      <c r="B25" s="6">
        <v>45766</v>
      </c>
      <c r="C25" s="17">
        <v>29847</v>
      </c>
      <c r="D25" s="25">
        <v>30056</v>
      </c>
      <c r="E25" s="32">
        <v>59903</v>
      </c>
      <c r="F25" s="36" t="s">
        <v>14</v>
      </c>
    </row>
    <row r="26" spans="1:6" x14ac:dyDescent="0.25">
      <c r="A26" s="31" t="s">
        <v>12</v>
      </c>
      <c r="B26" s="6">
        <v>45767</v>
      </c>
      <c r="C26" s="22">
        <v>21663</v>
      </c>
      <c r="D26" s="22">
        <v>20303</v>
      </c>
      <c r="E26" s="32">
        <v>41966</v>
      </c>
      <c r="F26" s="36" t="s">
        <v>14</v>
      </c>
    </row>
    <row r="27" spans="1:6" x14ac:dyDescent="0.3">
      <c r="A27" s="31" t="s">
        <v>13</v>
      </c>
      <c r="B27" s="6">
        <v>45768</v>
      </c>
      <c r="C27" s="17">
        <v>23543</v>
      </c>
      <c r="D27" s="25">
        <v>23466</v>
      </c>
      <c r="E27" s="32">
        <v>47009</v>
      </c>
    </row>
    <row r="28" spans="1:6" ht="13.5" customHeight="1" x14ac:dyDescent="0.3">
      <c r="A28" s="31" t="s">
        <v>6</v>
      </c>
      <c r="B28" s="6">
        <v>45769</v>
      </c>
      <c r="C28" s="17">
        <v>27243</v>
      </c>
      <c r="D28" s="17">
        <v>26759</v>
      </c>
      <c r="E28" s="32">
        <v>54002</v>
      </c>
    </row>
    <row r="29" spans="1:6" ht="13.5" customHeight="1" x14ac:dyDescent="0.25">
      <c r="A29" s="31" t="s">
        <v>8</v>
      </c>
      <c r="B29" s="6">
        <v>45770</v>
      </c>
      <c r="C29" s="29">
        <v>26859</v>
      </c>
      <c r="D29" s="29">
        <v>26818</v>
      </c>
      <c r="E29" s="33">
        <v>53677</v>
      </c>
      <c r="F29" s="36"/>
    </row>
    <row r="30" spans="1:6" ht="13.5" customHeight="1" x14ac:dyDescent="0.25">
      <c r="A30" s="31" t="s">
        <v>9</v>
      </c>
      <c r="B30" s="6">
        <v>45771</v>
      </c>
      <c r="C30" s="29">
        <v>27534</v>
      </c>
      <c r="D30" s="29">
        <v>27501</v>
      </c>
      <c r="E30" s="33">
        <v>55035</v>
      </c>
      <c r="F30" s="36"/>
    </row>
    <row r="31" spans="1:6" ht="13.5" customHeight="1" x14ac:dyDescent="0.25">
      <c r="A31" s="31" t="s">
        <v>10</v>
      </c>
      <c r="B31" s="6">
        <v>45772</v>
      </c>
      <c r="C31" s="17">
        <v>27956</v>
      </c>
      <c r="D31" s="17">
        <v>27615</v>
      </c>
      <c r="E31" s="32">
        <v>55571</v>
      </c>
      <c r="F31" s="36"/>
    </row>
    <row r="32" spans="1:6" ht="13.5" customHeight="1" x14ac:dyDescent="0.3">
      <c r="A32" s="31" t="s">
        <v>11</v>
      </c>
      <c r="B32" s="6">
        <v>45773</v>
      </c>
      <c r="C32" s="17">
        <v>18221</v>
      </c>
      <c r="D32" s="17">
        <v>18171</v>
      </c>
      <c r="E32" s="32">
        <v>36392</v>
      </c>
      <c r="F32" s="35" t="s">
        <v>17</v>
      </c>
    </row>
    <row r="33" spans="1:6" ht="13.5" customHeight="1" x14ac:dyDescent="0.25">
      <c r="A33" s="31" t="s">
        <v>12</v>
      </c>
      <c r="B33" s="6">
        <v>45774</v>
      </c>
      <c r="C33" s="17">
        <v>17054</v>
      </c>
      <c r="D33" s="17">
        <v>15778</v>
      </c>
      <c r="E33" s="32">
        <v>32832</v>
      </c>
      <c r="F33" s="36"/>
    </row>
    <row r="34" spans="1:6" ht="13.5" customHeight="1" x14ac:dyDescent="0.25">
      <c r="A34" s="31" t="s">
        <v>13</v>
      </c>
      <c r="B34" s="6">
        <v>45775</v>
      </c>
      <c r="C34" s="17">
        <v>26966</v>
      </c>
      <c r="D34" s="17">
        <v>26735</v>
      </c>
      <c r="E34" s="32">
        <v>53701</v>
      </c>
      <c r="F34" s="36"/>
    </row>
    <row r="35" spans="1:6" ht="13.5" customHeight="1" x14ac:dyDescent="0.25">
      <c r="A35" s="31" t="s">
        <v>6</v>
      </c>
      <c r="B35" s="6">
        <v>45776</v>
      </c>
      <c r="C35" s="28">
        <v>25678</v>
      </c>
      <c r="D35" s="28">
        <v>25448</v>
      </c>
      <c r="E35" s="32">
        <v>51126</v>
      </c>
      <c r="F35" s="36"/>
    </row>
    <row r="36" spans="1:6" ht="13.5" customHeight="1" x14ac:dyDescent="0.25">
      <c r="A36" s="31" t="s">
        <v>8</v>
      </c>
      <c r="B36" s="6">
        <v>45777</v>
      </c>
      <c r="C36" s="28">
        <v>25248</v>
      </c>
      <c r="D36" s="28">
        <v>25126</v>
      </c>
      <c r="E36" s="32">
        <v>50374</v>
      </c>
      <c r="F36" s="36"/>
    </row>
    <row r="37" spans="1:6" hidden="1" x14ac:dyDescent="0.3">
      <c r="A37" s="31"/>
      <c r="B37" s="6"/>
      <c r="C37" s="28"/>
      <c r="D37" s="28"/>
      <c r="E37" s="32">
        <f>SUM(C37:D37)</f>
        <v>0</v>
      </c>
    </row>
    <row r="38" spans="1:6" ht="15" thickBot="1" x14ac:dyDescent="0.35">
      <c r="A38" s="51" t="s">
        <v>18</v>
      </c>
      <c r="B38" s="52"/>
      <c r="C38" s="18">
        <f>SUM(C7:C37)</f>
        <v>728425</v>
      </c>
      <c r="D38" s="18">
        <f>SUM(D7:D37)</f>
        <v>724025</v>
      </c>
      <c r="E38" s="34">
        <f>SUM(E7:E37)</f>
        <v>1452450</v>
      </c>
    </row>
    <row r="39" spans="1:6" ht="15" thickBot="1" x14ac:dyDescent="0.35">
      <c r="B39" s="3"/>
      <c r="C39" s="19"/>
      <c r="D39" s="19"/>
      <c r="E39" s="20"/>
    </row>
    <row r="40" spans="1:6" ht="13.5" customHeight="1" thickBot="1" x14ac:dyDescent="0.35">
      <c r="A40" s="41" t="s">
        <v>19</v>
      </c>
      <c r="B40" s="42"/>
      <c r="C40" s="42"/>
      <c r="D40" s="42"/>
      <c r="E40" s="21">
        <f>E38</f>
        <v>1452450</v>
      </c>
    </row>
  </sheetData>
  <mergeCells count="8">
    <mergeCell ref="A4:E4"/>
    <mergeCell ref="A40:D40"/>
    <mergeCell ref="A5:A6"/>
    <mergeCell ref="B5:B6"/>
    <mergeCell ref="C5:C6"/>
    <mergeCell ref="D5:D6"/>
    <mergeCell ref="E5:E6"/>
    <mergeCell ref="A38:B38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1949-4FF4-469E-B525-0019DA769D42}">
  <dimension ref="A2:F50"/>
  <sheetViews>
    <sheetView workbookViewId="0">
      <selection activeCell="A35" sqref="A35:A36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18.33203125" style="1" customWidth="1"/>
    <col min="7" max="16384" width="9.109375" style="1"/>
  </cols>
  <sheetData>
    <row r="2" spans="1:6" x14ac:dyDescent="0.25">
      <c r="A2" s="53" t="s">
        <v>20</v>
      </c>
      <c r="B2" s="53"/>
      <c r="C2" s="53"/>
      <c r="D2" s="53"/>
      <c r="E2" s="53"/>
    </row>
    <row r="3" spans="1:6" ht="11.25" customHeight="1" x14ac:dyDescent="0.25">
      <c r="A3" s="54" t="s">
        <v>1</v>
      </c>
      <c r="B3" s="54" t="s">
        <v>2</v>
      </c>
      <c r="C3" s="55" t="s">
        <v>3</v>
      </c>
      <c r="D3" s="54" t="s">
        <v>4</v>
      </c>
      <c r="E3" s="56" t="s">
        <v>5</v>
      </c>
    </row>
    <row r="4" spans="1:6" x14ac:dyDescent="0.25">
      <c r="A4" s="54"/>
      <c r="B4" s="54"/>
      <c r="C4" s="55"/>
      <c r="D4" s="54"/>
      <c r="E4" s="56"/>
    </row>
    <row r="5" spans="1:6" ht="14.4" x14ac:dyDescent="0.3">
      <c r="A5" s="10" t="s">
        <v>6</v>
      </c>
      <c r="B5" s="11">
        <v>45748</v>
      </c>
      <c r="C5" s="22">
        <v>22888</v>
      </c>
      <c r="D5" s="22">
        <v>22800</v>
      </c>
      <c r="E5" s="30">
        <f>SUM(C5:D5)</f>
        <v>45688</v>
      </c>
      <c r="F5" s="35" t="s">
        <v>7</v>
      </c>
    </row>
    <row r="6" spans="1:6" x14ac:dyDescent="0.25">
      <c r="A6" s="10" t="s">
        <v>8</v>
      </c>
      <c r="B6" s="11">
        <v>45749</v>
      </c>
      <c r="C6" s="22">
        <v>22462</v>
      </c>
      <c r="D6" s="22">
        <v>22420</v>
      </c>
      <c r="E6" s="30">
        <f t="shared" ref="E6:E26" si="0">SUM(C6:D6)</f>
        <v>44882</v>
      </c>
    </row>
    <row r="7" spans="1:6" x14ac:dyDescent="0.25">
      <c r="A7" s="10" t="s">
        <v>9</v>
      </c>
      <c r="B7" s="11">
        <v>45750</v>
      </c>
      <c r="C7" s="23">
        <v>22315</v>
      </c>
      <c r="D7" s="23">
        <v>22609</v>
      </c>
      <c r="E7" s="30">
        <f t="shared" si="0"/>
        <v>44924</v>
      </c>
    </row>
    <row r="8" spans="1:6" x14ac:dyDescent="0.25">
      <c r="A8" s="10" t="s">
        <v>10</v>
      </c>
      <c r="B8" s="11">
        <v>45751</v>
      </c>
      <c r="C8" s="22">
        <v>24497</v>
      </c>
      <c r="D8" s="22">
        <v>24818</v>
      </c>
      <c r="E8" s="30">
        <f t="shared" si="0"/>
        <v>49315</v>
      </c>
    </row>
    <row r="9" spans="1:6" x14ac:dyDescent="0.25">
      <c r="A9" s="10" t="s">
        <v>13</v>
      </c>
      <c r="B9" s="11">
        <v>45754</v>
      </c>
      <c r="C9" s="22">
        <v>19807</v>
      </c>
      <c r="D9" s="22">
        <v>19779</v>
      </c>
      <c r="E9" s="30">
        <f t="shared" si="0"/>
        <v>39586</v>
      </c>
    </row>
    <row r="10" spans="1:6" x14ac:dyDescent="0.25">
      <c r="A10" s="10" t="s">
        <v>6</v>
      </c>
      <c r="B10" s="11">
        <v>45755</v>
      </c>
      <c r="C10" s="22">
        <v>23678</v>
      </c>
      <c r="D10" s="22">
        <v>23459</v>
      </c>
      <c r="E10" s="30">
        <f t="shared" si="0"/>
        <v>47137</v>
      </c>
    </row>
    <row r="11" spans="1:6" x14ac:dyDescent="0.25">
      <c r="A11" s="10" t="s">
        <v>8</v>
      </c>
      <c r="B11" s="11">
        <v>45756</v>
      </c>
      <c r="C11" s="29">
        <v>25040</v>
      </c>
      <c r="D11" s="29">
        <v>25103</v>
      </c>
      <c r="E11" s="30">
        <f>SUM(C11:D11)</f>
        <v>50143</v>
      </c>
    </row>
    <row r="12" spans="1:6" x14ac:dyDescent="0.25">
      <c r="A12" s="10" t="s">
        <v>9</v>
      </c>
      <c r="B12" s="11">
        <v>45757</v>
      </c>
      <c r="C12" s="29">
        <v>23180</v>
      </c>
      <c r="D12" s="29">
        <v>23635</v>
      </c>
      <c r="E12" s="30">
        <f>SUM(C12:D12)</f>
        <v>46815</v>
      </c>
    </row>
    <row r="13" spans="1:6" x14ac:dyDescent="0.25">
      <c r="A13" s="10" t="s">
        <v>10</v>
      </c>
      <c r="B13" s="11">
        <v>45758</v>
      </c>
      <c r="C13" s="29">
        <v>20581</v>
      </c>
      <c r="D13" s="29">
        <v>20765</v>
      </c>
      <c r="E13" s="30">
        <f>SUM(C13:D13)</f>
        <v>41346</v>
      </c>
    </row>
    <row r="14" spans="1:6" x14ac:dyDescent="0.25">
      <c r="A14" s="10" t="s">
        <v>13</v>
      </c>
      <c r="B14" s="11">
        <v>45761</v>
      </c>
      <c r="C14" s="22">
        <v>31936</v>
      </c>
      <c r="D14" s="22">
        <v>31580</v>
      </c>
      <c r="E14" s="30">
        <f t="shared" si="0"/>
        <v>63516</v>
      </c>
      <c r="F14" s="37" t="s">
        <v>14</v>
      </c>
    </row>
    <row r="15" spans="1:6" x14ac:dyDescent="0.25">
      <c r="A15" s="10" t="s">
        <v>6</v>
      </c>
      <c r="B15" s="11">
        <v>45762</v>
      </c>
      <c r="C15" s="22">
        <v>30677</v>
      </c>
      <c r="D15" s="22">
        <v>30889</v>
      </c>
      <c r="E15" s="30">
        <f t="shared" si="0"/>
        <v>61566</v>
      </c>
    </row>
    <row r="16" spans="1:6" x14ac:dyDescent="0.25">
      <c r="A16" s="10" t="s">
        <v>8</v>
      </c>
      <c r="B16" s="11">
        <v>45763</v>
      </c>
      <c r="C16" s="29">
        <v>25867</v>
      </c>
      <c r="D16" s="29">
        <v>26200</v>
      </c>
      <c r="E16" s="30">
        <f>SUM(C16:D16)</f>
        <v>52067</v>
      </c>
    </row>
    <row r="17" spans="1:6" ht="14.4" x14ac:dyDescent="0.3">
      <c r="A17" s="10" t="s">
        <v>9</v>
      </c>
      <c r="B17" s="11">
        <v>45764</v>
      </c>
      <c r="C17" s="29">
        <v>35904</v>
      </c>
      <c r="D17" s="29">
        <v>35802</v>
      </c>
      <c r="E17" s="30">
        <f>SUM(C17:D17)</f>
        <v>71706</v>
      </c>
      <c r="F17" s="35" t="s">
        <v>15</v>
      </c>
    </row>
    <row r="18" spans="1:6" ht="14.4" x14ac:dyDescent="0.25">
      <c r="A18" s="10" t="s">
        <v>10</v>
      </c>
      <c r="B18" s="11">
        <v>45765</v>
      </c>
      <c r="C18" s="29">
        <v>32008</v>
      </c>
      <c r="D18" s="29">
        <v>31490</v>
      </c>
      <c r="E18" s="30">
        <f>SUM(C18:D18)</f>
        <v>63498</v>
      </c>
      <c r="F18" s="36" t="s">
        <v>16</v>
      </c>
    </row>
    <row r="19" spans="1:6" x14ac:dyDescent="0.25">
      <c r="A19" s="10" t="s">
        <v>13</v>
      </c>
      <c r="B19" s="11">
        <v>45768</v>
      </c>
      <c r="C19" s="22">
        <v>23543</v>
      </c>
      <c r="D19" s="38">
        <v>23466</v>
      </c>
      <c r="E19" s="30">
        <f t="shared" si="0"/>
        <v>47009</v>
      </c>
    </row>
    <row r="20" spans="1:6" x14ac:dyDescent="0.25">
      <c r="A20" s="10" t="s">
        <v>6</v>
      </c>
      <c r="B20" s="11">
        <v>45769</v>
      </c>
      <c r="C20" s="22">
        <v>27243</v>
      </c>
      <c r="D20" s="22">
        <v>26759</v>
      </c>
      <c r="E20" s="30">
        <f t="shared" si="0"/>
        <v>54002</v>
      </c>
    </row>
    <row r="21" spans="1:6" x14ac:dyDescent="0.25">
      <c r="A21" s="10" t="s">
        <v>8</v>
      </c>
      <c r="B21" s="11">
        <v>45770</v>
      </c>
      <c r="C21" s="29">
        <v>26859</v>
      </c>
      <c r="D21" s="29">
        <v>26818</v>
      </c>
      <c r="E21" s="30">
        <f>SUM(C21:D21)</f>
        <v>53677</v>
      </c>
    </row>
    <row r="22" spans="1:6" x14ac:dyDescent="0.25">
      <c r="A22" s="10" t="s">
        <v>9</v>
      </c>
      <c r="B22" s="11">
        <v>45771</v>
      </c>
      <c r="C22" s="29">
        <v>27534</v>
      </c>
      <c r="D22" s="29">
        <v>27501</v>
      </c>
      <c r="E22" s="30">
        <f>SUM(C22:D22)</f>
        <v>55035</v>
      </c>
    </row>
    <row r="23" spans="1:6" x14ac:dyDescent="0.25">
      <c r="A23" s="10" t="s">
        <v>10</v>
      </c>
      <c r="B23" s="11">
        <v>45772</v>
      </c>
      <c r="C23" s="29">
        <v>27956</v>
      </c>
      <c r="D23" s="22">
        <v>27615</v>
      </c>
      <c r="E23" s="30">
        <f t="shared" si="0"/>
        <v>55571</v>
      </c>
    </row>
    <row r="24" spans="1:6" x14ac:dyDescent="0.25">
      <c r="A24" s="10" t="s">
        <v>13</v>
      </c>
      <c r="B24" s="11">
        <v>45775</v>
      </c>
      <c r="C24" s="29">
        <v>26966</v>
      </c>
      <c r="D24" s="30">
        <v>26735</v>
      </c>
      <c r="E24" s="30">
        <f t="shared" si="0"/>
        <v>53701</v>
      </c>
    </row>
    <row r="25" spans="1:6" x14ac:dyDescent="0.25">
      <c r="A25" s="10" t="s">
        <v>6</v>
      </c>
      <c r="B25" s="11">
        <v>45776</v>
      </c>
      <c r="C25" s="22">
        <v>25678</v>
      </c>
      <c r="D25" s="29">
        <v>25448</v>
      </c>
      <c r="E25" s="30">
        <f t="shared" si="0"/>
        <v>51126</v>
      </c>
    </row>
    <row r="26" spans="1:6" x14ac:dyDescent="0.25">
      <c r="A26" s="10" t="s">
        <v>8</v>
      </c>
      <c r="B26" s="11">
        <v>45777</v>
      </c>
      <c r="C26" s="22">
        <v>25248</v>
      </c>
      <c r="D26" s="29">
        <v>25126</v>
      </c>
      <c r="E26" s="30">
        <f t="shared" si="0"/>
        <v>50374</v>
      </c>
    </row>
    <row r="27" spans="1:6" x14ac:dyDescent="0.25">
      <c r="A27" s="57" t="s">
        <v>18</v>
      </c>
      <c r="B27" s="57"/>
      <c r="C27" s="14">
        <f>SUM(C5:C26)</f>
        <v>571867</v>
      </c>
      <c r="D27" s="14">
        <f>SUM(D5:D26)</f>
        <v>570817</v>
      </c>
      <c r="E27" s="14">
        <f>SUM(E5:E26)</f>
        <v>1142684</v>
      </c>
    </row>
    <row r="28" spans="1:6" x14ac:dyDescent="0.25">
      <c r="C28" s="4"/>
      <c r="D28" s="4"/>
      <c r="E28" s="4"/>
    </row>
    <row r="29" spans="1:6" x14ac:dyDescent="0.25">
      <c r="A29" s="58" t="s">
        <v>21</v>
      </c>
      <c r="B29" s="58"/>
      <c r="C29" s="58"/>
      <c r="D29" s="58"/>
      <c r="E29" s="8">
        <f>E27</f>
        <v>1142684</v>
      </c>
    </row>
    <row r="30" spans="1:6" x14ac:dyDescent="0.25">
      <c r="A30" s="58" t="s">
        <v>22</v>
      </c>
      <c r="B30" s="58"/>
      <c r="C30" s="58"/>
      <c r="D30" s="58"/>
      <c r="E30" s="8">
        <f>AVERAGE(E5:E26)</f>
        <v>51940.181818181816</v>
      </c>
    </row>
    <row r="31" spans="1:6" x14ac:dyDescent="0.25">
      <c r="A31" s="60"/>
      <c r="B31" s="60"/>
      <c r="C31" s="60"/>
      <c r="D31" s="60"/>
      <c r="E31" s="61"/>
    </row>
    <row r="32" spans="1:6" x14ac:dyDescent="0.25">
      <c r="A32" s="60"/>
      <c r="B32" s="60"/>
      <c r="C32" s="60"/>
      <c r="D32" s="60"/>
      <c r="E32" s="61"/>
    </row>
    <row r="34" spans="1:6" x14ac:dyDescent="0.25">
      <c r="A34" s="53" t="s">
        <v>23</v>
      </c>
      <c r="B34" s="53"/>
      <c r="C34" s="53"/>
      <c r="D34" s="53"/>
      <c r="E34" s="53"/>
    </row>
    <row r="35" spans="1:6" x14ac:dyDescent="0.25">
      <c r="A35" s="54" t="s">
        <v>1</v>
      </c>
      <c r="B35" s="54" t="s">
        <v>2</v>
      </c>
      <c r="C35" s="55" t="s">
        <v>3</v>
      </c>
      <c r="D35" s="55" t="s">
        <v>4</v>
      </c>
      <c r="E35" s="56" t="s">
        <v>5</v>
      </c>
    </row>
    <row r="36" spans="1:6" ht="11.25" customHeight="1" x14ac:dyDescent="0.25">
      <c r="A36" s="54"/>
      <c r="B36" s="54"/>
      <c r="C36" s="55"/>
      <c r="D36" s="55"/>
      <c r="E36" s="56"/>
    </row>
    <row r="37" spans="1:6" x14ac:dyDescent="0.25">
      <c r="A37" s="10" t="s">
        <v>11</v>
      </c>
      <c r="B37" s="6">
        <v>45752</v>
      </c>
      <c r="C37" s="26">
        <v>17528</v>
      </c>
      <c r="D37" s="26">
        <v>17317</v>
      </c>
      <c r="E37" s="27">
        <f>C37+D37</f>
        <v>34845</v>
      </c>
    </row>
    <row r="38" spans="1:6" x14ac:dyDescent="0.25">
      <c r="A38" s="10" t="s">
        <v>12</v>
      </c>
      <c r="B38" s="6">
        <v>45753</v>
      </c>
      <c r="C38" s="22">
        <v>16122</v>
      </c>
      <c r="D38" s="22">
        <v>15496</v>
      </c>
      <c r="E38" s="27">
        <f t="shared" ref="E38:E44" si="1">C38+D38</f>
        <v>31618</v>
      </c>
    </row>
    <row r="39" spans="1:6" x14ac:dyDescent="0.25">
      <c r="A39" s="10" t="s">
        <v>11</v>
      </c>
      <c r="B39" s="6">
        <v>45759</v>
      </c>
      <c r="C39" s="22">
        <v>14542</v>
      </c>
      <c r="D39" s="22">
        <v>15235</v>
      </c>
      <c r="E39" s="27">
        <f t="shared" si="1"/>
        <v>29777</v>
      </c>
    </row>
    <row r="40" spans="1:6" ht="15" customHeight="1" x14ac:dyDescent="0.25">
      <c r="A40" s="10" t="s">
        <v>12</v>
      </c>
      <c r="B40" s="6">
        <v>45760</v>
      </c>
      <c r="C40" s="22">
        <v>21581</v>
      </c>
      <c r="D40" s="22">
        <v>20852</v>
      </c>
      <c r="E40" s="27">
        <f t="shared" si="1"/>
        <v>42433</v>
      </c>
      <c r="F40" s="59" t="s">
        <v>14</v>
      </c>
    </row>
    <row r="41" spans="1:6" ht="15" customHeight="1" x14ac:dyDescent="0.25">
      <c r="A41" s="10" t="s">
        <v>11</v>
      </c>
      <c r="B41" s="6">
        <v>45766</v>
      </c>
      <c r="C41" s="22">
        <v>29847</v>
      </c>
      <c r="D41" s="22">
        <v>30056</v>
      </c>
      <c r="E41" s="27">
        <f t="shared" si="1"/>
        <v>59903</v>
      </c>
      <c r="F41" s="59"/>
    </row>
    <row r="42" spans="1:6" x14ac:dyDescent="0.25">
      <c r="A42" s="10" t="s">
        <v>12</v>
      </c>
      <c r="B42" s="6">
        <v>45767</v>
      </c>
      <c r="C42" s="22">
        <v>21663</v>
      </c>
      <c r="D42" s="22">
        <v>20303</v>
      </c>
      <c r="E42" s="27">
        <f t="shared" si="1"/>
        <v>41966</v>
      </c>
      <c r="F42" s="59"/>
    </row>
    <row r="43" spans="1:6" ht="14.4" x14ac:dyDescent="0.3">
      <c r="A43" s="10" t="s">
        <v>11</v>
      </c>
      <c r="B43" s="6">
        <v>45773</v>
      </c>
      <c r="C43" s="22">
        <v>18221</v>
      </c>
      <c r="D43" s="22">
        <v>18171</v>
      </c>
      <c r="E43" s="27">
        <f t="shared" si="1"/>
        <v>36392</v>
      </c>
      <c r="F43" s="35" t="s">
        <v>17</v>
      </c>
    </row>
    <row r="44" spans="1:6" x14ac:dyDescent="0.25">
      <c r="A44" s="10" t="s">
        <v>12</v>
      </c>
      <c r="B44" s="6">
        <v>45774</v>
      </c>
      <c r="C44" s="22">
        <v>17054</v>
      </c>
      <c r="D44" s="22">
        <v>15778</v>
      </c>
      <c r="E44" s="27">
        <f t="shared" si="1"/>
        <v>32832</v>
      </c>
    </row>
    <row r="45" spans="1:6" x14ac:dyDescent="0.25">
      <c r="A45" s="57" t="s">
        <v>18</v>
      </c>
      <c r="B45" s="57"/>
      <c r="C45" s="7">
        <f>SUM(C37:C44)</f>
        <v>156558</v>
      </c>
      <c r="D45" s="7">
        <f>SUM(D37:D44)</f>
        <v>153208</v>
      </c>
      <c r="E45" s="7">
        <f>SUM(E37:E44)</f>
        <v>309766</v>
      </c>
    </row>
    <row r="46" spans="1:6" x14ac:dyDescent="0.25">
      <c r="C46" s="4" t="s">
        <v>24</v>
      </c>
      <c r="D46" s="4"/>
      <c r="E46" s="4"/>
    </row>
    <row r="47" spans="1:6" ht="16.5" customHeight="1" x14ac:dyDescent="0.25">
      <c r="A47" s="58" t="s">
        <v>25</v>
      </c>
      <c r="B47" s="58"/>
      <c r="C47" s="58"/>
      <c r="D47" s="58"/>
      <c r="E47" s="9">
        <f>E45</f>
        <v>309766</v>
      </c>
    </row>
    <row r="48" spans="1:6" x14ac:dyDescent="0.25">
      <c r="A48" s="5"/>
      <c r="B48" s="5"/>
      <c r="C48" s="5"/>
      <c r="D48" s="5"/>
      <c r="E48" s="5"/>
    </row>
    <row r="49" spans="1:5" ht="14.25" customHeight="1" x14ac:dyDescent="0.25">
      <c r="A49" s="58" t="s">
        <v>26</v>
      </c>
      <c r="B49" s="58"/>
      <c r="C49" s="58"/>
      <c r="D49" s="58"/>
      <c r="E49" s="9">
        <f xml:space="preserve"> AVERAGE(E37,E39,E41,E43)</f>
        <v>40229.25</v>
      </c>
    </row>
    <row r="50" spans="1:5" x14ac:dyDescent="0.25">
      <c r="A50" s="58" t="s">
        <v>27</v>
      </c>
      <c r="B50" s="58"/>
      <c r="C50" s="58"/>
      <c r="D50" s="58"/>
      <c r="E50" s="9">
        <f xml:space="preserve"> AVERAGE(E38,E40,E42, E44,)</f>
        <v>29769.8</v>
      </c>
    </row>
  </sheetData>
  <mergeCells count="20">
    <mergeCell ref="A47:D47"/>
    <mergeCell ref="E35:E36"/>
    <mergeCell ref="A49:D49"/>
    <mergeCell ref="F40:F42"/>
    <mergeCell ref="A50:D50"/>
    <mergeCell ref="A45:B45"/>
    <mergeCell ref="A27:B27"/>
    <mergeCell ref="A29:D29"/>
    <mergeCell ref="A30:D30"/>
    <mergeCell ref="A34:E34"/>
    <mergeCell ref="A35:A36"/>
    <mergeCell ref="B35:B36"/>
    <mergeCell ref="C35:C36"/>
    <mergeCell ref="D35:D36"/>
    <mergeCell ref="A2:E2"/>
    <mergeCell ref="A3:A4"/>
    <mergeCell ref="B3:B4"/>
    <mergeCell ref="C3:C4"/>
    <mergeCell ref="D3:D4"/>
    <mergeCell ref="E3:E4"/>
  </mergeCells>
  <phoneticPr fontId="8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D298C4-3840-473E-AC06-46ADD80073E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773C594-E9C8-45AE-BA50-48F46B78ED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CADB2B-4204-4BFA-8DDD-C5A3628FBC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tabbott</dc:creator>
  <cp:keywords/>
  <dc:description/>
  <cp:lastModifiedBy>Lucy Santana</cp:lastModifiedBy>
  <cp:revision/>
  <dcterms:created xsi:type="dcterms:W3CDTF">2006-12-14T13:28:56Z</dcterms:created>
  <dcterms:modified xsi:type="dcterms:W3CDTF">2026-04-09T23:39:33Z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