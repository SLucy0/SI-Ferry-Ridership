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A31FDEDD-6A8E-40D1-8FE5-BB1B531BCB18}" xr6:coauthVersionLast="47" xr6:coauthVersionMax="47" xr10:uidLastSave="{00000000-0000-0000-0000-000000000000}"/>
  <bookViews>
    <workbookView xWindow="-108" yWindow="-108" windowWidth="23256" windowHeight="13896" xr2:uid="{F8A8FF78-3B90-4F5B-995E-59924D30F883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40" i="1" s="1"/>
  <c r="D38" i="1"/>
  <c r="C38" i="1"/>
  <c r="D46" i="3"/>
  <c r="C46" i="3"/>
  <c r="D28" i="3"/>
  <c r="C28" i="3"/>
  <c r="E27" i="3"/>
  <c r="E26" i="3"/>
  <c r="E25" i="3"/>
  <c r="E44" i="3"/>
  <c r="E23" i="3"/>
  <c r="E43" i="3"/>
  <c r="E51" i="3" s="1"/>
  <c r="E19" i="3"/>
  <c r="E18" i="3"/>
  <c r="E40" i="3"/>
  <c r="E15" i="3"/>
  <c r="E12" i="3"/>
  <c r="E11" i="3"/>
  <c r="E39" i="3"/>
  <c r="E38" i="3"/>
  <c r="E9" i="3"/>
  <c r="E8" i="3"/>
  <c r="E6" i="3"/>
  <c r="E17" i="3"/>
  <c r="E24" i="3"/>
  <c r="E21" i="3"/>
  <c r="E10" i="3"/>
  <c r="E7" i="3"/>
  <c r="A37" i="3"/>
  <c r="A38" i="3"/>
  <c r="A39" i="3"/>
  <c r="A40" i="3"/>
  <c r="A41" i="3"/>
  <c r="E37" i="3"/>
  <c r="A45" i="3"/>
  <c r="A44" i="3"/>
  <c r="A43" i="3"/>
  <c r="A42" i="3"/>
  <c r="E16" i="3"/>
  <c r="E13" i="3"/>
  <c r="E20" i="3"/>
  <c r="E22" i="3"/>
  <c r="E5" i="3"/>
  <c r="E41" i="3"/>
  <c r="E14" i="3"/>
  <c r="E42" i="3"/>
  <c r="E45" i="3"/>
  <c r="E46" i="3" l="1"/>
  <c r="E48" i="3" s="1"/>
  <c r="E50" i="3"/>
  <c r="E31" i="3"/>
  <c r="E28" i="3"/>
  <c r="E30" i="3" s="1"/>
</calcChain>
</file>

<file path=xl/sharedStrings.xml><?xml version="1.0" encoding="utf-8"?>
<sst xmlns="http://schemas.openxmlformats.org/spreadsheetml/2006/main" count="87" uniqueCount="25">
  <si>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</si>
  <si>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</si>
  <si>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</si>
  <si>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</si>
  <si>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</si>
  <si>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</si>
  <si>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</si>
  <si>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</si>
  <si>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</si>
  <si>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</si>
  <si>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</si>
  <si>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</si>
  <si>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</si>
  <si>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</si>
  <si>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</si>
  <si>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SAT</t>
  </si>
  <si>
    <t>SUN</t>
  </si>
  <si>
    <t>Christmas Eve</t>
  </si>
  <si>
    <t>Christmas Day</t>
  </si>
  <si>
    <t>New Year's Eve</t>
  </si>
  <si>
    <t xml:space="preserve">      December 2025 Staten Island Ferry Ridership</t>
  </si>
  <si>
    <t xml:space="preserve">December 2025:  WEEKDAY TOTALS </t>
  </si>
  <si>
    <t xml:space="preserve">Total Weekday Pax Count December 2025: </t>
  </si>
  <si>
    <t xml:space="preserve">December 2025:  WEEKEND TOTALS </t>
  </si>
  <si>
    <t xml:space="preserve">Total Weekend Pax Count December 2025: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</si>
</sst>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right"/>
    </xf>
    <xf numFmtId="41" fontId="6" fillId="2" borderId="2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right"/>
    </xf>
    <xf numFmtId="37" fontId="6" fillId="0" borderId="0" xfId="0" applyNumberFormat="1" applyFont="1" applyAlignment="1">
      <alignment horizontal="center"/>
    </xf>
    <xf numFmtId="41" fontId="6" fillId="2" borderId="3" xfId="0" applyNumberFormat="1" applyFont="1" applyFill="1" applyBorder="1" applyAlignment="1">
      <alignment horizontal="center"/>
    </xf>
    <xf numFmtId="0" fontId="8" fillId="0" borderId="0" xfId="0" applyFont="1"/>
    <xf numFmtId="0" fontId="8" fillId="5" borderId="0" xfId="0" applyFont="1" applyFill="1"/>
    <xf numFmtId="3" fontId="7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41" fontId="6" fillId="2" borderId="1" xfId="0" applyNumberFormat="1" applyFont="1" applyFill="1" applyBorder="1" applyAlignment="1">
      <alignment horizontal="center"/>
    </xf>
    <xf numFmtId="41" fontId="5" fillId="0" borderId="0" xfId="0" applyNumberFormat="1" applyFont="1" applyAlignment="1">
      <alignment horizontal="center"/>
    </xf>
    <xf numFmtId="37" fontId="6" fillId="2" borderId="1" xfId="0" applyNumberFormat="1" applyFont="1" applyFill="1" applyBorder="1" applyAlignment="1">
      <alignment horizontal="right"/>
    </xf>
    <xf numFmtId="14" fontId="5" fillId="0" borderId="1" xfId="0" applyNumberFormat="1" applyFont="1" applyBorder="1"/>
    <xf numFmtId="164" fontId="7" fillId="0" borderId="1" xfId="1" applyNumberFormat="1" applyFont="1" applyFill="1" applyBorder="1" applyAlignment="1">
      <alignment horizontal="center"/>
    </xf>
    <xf numFmtId="41" fontId="6" fillId="2" borderId="1" xfId="0" applyNumberFormat="1" applyFont="1" applyFill="1" applyBorder="1"/>
    <xf numFmtId="41" fontId="5" fillId="0" borderId="0" xfId="0" applyNumberFormat="1" applyFont="1"/>
    <xf numFmtId="37" fontId="6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7" fillId="0" borderId="1" xfId="1" applyNumberFormat="1" applyFont="1" applyFill="1" applyBorder="1" applyAlignment="1">
      <alignment horizontal="right"/>
    </xf>
    <xf numFmtId="164" fontId="5" fillId="0" borderId="1" xfId="1" applyNumberFormat="1" applyFont="1" applyFill="1" applyBorder="1" applyAlignment="1">
      <alignment horizontal="right"/>
    </xf>
    <xf numFmtId="164" fontId="7" fillId="5" borderId="1" xfId="1" applyNumberFormat="1" applyFont="1" applyFill="1" applyBorder="1" applyAlignment="1">
      <alignment horizontal="right"/>
    </xf>
    <xf numFmtId="164" fontId="7" fillId="5" borderId="4" xfId="1" applyNumberFormat="1" applyFont="1" applyFill="1" applyBorder="1" applyAlignment="1">
      <alignment horizontal="right"/>
    </xf>
    <xf numFmtId="41" fontId="6" fillId="2" borderId="2" xfId="0" applyNumberFormat="1" applyFont="1" applyFill="1" applyBorder="1" applyAlignment="1">
      <alignment horizontal="right"/>
    </xf>
    <xf numFmtId="41" fontId="6" fillId="0" borderId="0" xfId="0" applyNumberFormat="1" applyFont="1" applyAlignment="1">
      <alignment horizontal="right"/>
    </xf>
    <xf numFmtId="17" fontId="9" fillId="3" borderId="5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vertical="center"/>
    </xf>
    <xf numFmtId="0" fontId="5" fillId="0" borderId="9" xfId="0" applyFont="1" applyBorder="1"/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10" fillId="4" borderId="4" xfId="0" applyFont="1" applyFill="1" applyBorder="1" applyAlignment="1">
      <alignment horizontal="center" vertical="top" wrapText="1"/>
    </xf>
    <xf numFmtId="0" fontId="10" fillId="4" borderId="10" xfId="0" applyFont="1" applyFill="1" applyBorder="1" applyAlignment="1">
      <alignment horizontal="center" vertical="top" wrapText="1"/>
    </xf>
    <xf numFmtId="14" fontId="6" fillId="2" borderId="11" xfId="0" applyNumberFormat="1" applyFon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41" fontId="6" fillId="2" borderId="1" xfId="0" applyNumberFormat="1" applyFont="1" applyFill="1" applyBorder="1" applyAlignment="1">
      <alignment horizontal="right"/>
    </xf>
    <xf numFmtId="14" fontId="6" fillId="2" borderId="1" xfId="0" applyNumberFormat="1" applyFont="1" applyFill="1" applyBorder="1" applyAlignment="1">
      <alignment horizontal="center"/>
    </xf>
    <xf numFmtId="41" fontId="6" fillId="2" borderId="0" xfId="0" applyNumberFormat="1" applyFont="1" applyFill="1" applyBorder="1" applyAlignment="1">
      <alignment horizontal="right"/>
    </xf>
    <xf numFmtId="37" fontId="6" fillId="2" borderId="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123825</xdr:colOff>
      <xdr:row>2</xdr:row>
      <xdr:rowOff>104775</xdr:rowOff>
    </xdr:to>
    <xdr:pic>
      <xdr:nvPicPr>
        <xdr:cNvPr id="4207" name="Picture 31" descr="DOT%20Logo_green">
          <a:extLst>
            <a:ext uri="{FF2B5EF4-FFF2-40B4-BE49-F238E27FC236}">
              <a16:creationId xmlns:a16="http://schemas.microsoft.com/office/drawing/2014/main" id="{656EB0D5-2145-3595-A529-5BB663DB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525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FF4D-4E35-4221-A078-087FDE592493}">
  <dimension ref="A1:F40"/>
  <sheetViews>
    <sheetView tabSelected="1" workbookViewId="0">
      <selection activeCell="A5" sqref="A5:A6"/>
    </sheetView>
  </sheetViews>
  <sheetFormatPr defaultColWidth="9.109375" defaultRowHeight="14.4" x14ac:dyDescent="0.3"/>
  <cols>
    <col min="1" max="1" width="9.109375" style="2" customWidth="1"/>
    <col min="2" max="2" width="13.44140625" style="2" customWidth="1"/>
    <col min="3" max="4" width="12.33203125" style="29" customWidth="1"/>
    <col min="5" max="5" width="15.5546875" style="2" customWidth="1"/>
    <col min="6" max="6" width="16.6640625" style="15" customWidth="1"/>
    <col min="7" max="9" width="9.109375" style="1"/>
    <col min="10" max="10" width="9.6640625" style="1" bestFit="1" customWidth="1"/>
    <col min="11" max="16384" width="9.109375" style="1"/>
  </cols>
  <sheetData>
    <row r="1" spans="1:5" ht="12.75" customHeight="1" x14ac:dyDescent="0.3"/>
    <row r="2" spans="1:5" x14ac:dyDescent="0.3">
      <c r="A2" s="3"/>
      <c r="B2" s="3" t="s">
        <v>20</v>
      </c>
      <c r="C2" s="30"/>
      <c r="D2" s="30"/>
      <c r="E2" s="3"/>
    </row>
    <row r="3" spans="1:5" ht="15" customHeight="1" thickBot="1" x14ac:dyDescent="0.35"/>
    <row r="4" spans="1:5" x14ac:dyDescent="0.3">
      <c r="A4" s="37">
        <v>45992</v>
      </c>
      <c r="B4" s="38"/>
      <c r="C4" s="38"/>
      <c r="D4" s="38"/>
      <c r="E4" s="38"/>
    </row>
    <row r="5" spans="1:5" x14ac:dyDescent="0.3">
      <c r="A5" s="41" t="s">
        <v>0</v>
      </c>
      <c r="B5" s="43" t="s">
        <v>1</v>
      </c>
      <c r="C5" s="43" t="s">
        <v>3</v>
      </c>
      <c r="D5" s="43" t="s">
        <v>4</v>
      </c>
      <c r="E5" s="45" t="s">
        <v>9</v>
      </c>
    </row>
    <row r="6" spans="1:5" x14ac:dyDescent="0.3">
      <c r="A6" s="42"/>
      <c r="B6" s="44"/>
      <c r="C6" s="44"/>
      <c r="D6" s="44"/>
      <c r="E6" s="46"/>
    </row>
    <row r="7" spans="1:5" x14ac:dyDescent="0.3">
      <c r="A7" s="4" t="s">
        <v>10</v>
      </c>
      <c r="B7" s="5">
        <v>45992</v>
      </c>
      <c r="C7" s="31">
        <v>23801</v>
      </c>
      <c r="D7" s="31">
        <v>23794</v>
      </c>
      <c r="E7" s="6">
        <v>47595</v>
      </c>
    </row>
    <row r="8" spans="1:5" x14ac:dyDescent="0.3">
      <c r="A8" s="4" t="s">
        <v>14</v>
      </c>
      <c r="B8" s="5">
        <v>45993</v>
      </c>
      <c r="C8" s="31">
        <v>17720</v>
      </c>
      <c r="D8" s="31">
        <v>17482</v>
      </c>
      <c r="E8" s="6">
        <v>35202</v>
      </c>
    </row>
    <row r="9" spans="1:5" x14ac:dyDescent="0.3">
      <c r="A9" s="4" t="s">
        <v>11</v>
      </c>
      <c r="B9" s="5">
        <v>45994</v>
      </c>
      <c r="C9" s="31">
        <v>24269</v>
      </c>
      <c r="D9" s="31">
        <v>24307</v>
      </c>
      <c r="E9" s="6">
        <v>48576</v>
      </c>
    </row>
    <row r="10" spans="1:5" x14ac:dyDescent="0.3">
      <c r="A10" s="4" t="s">
        <v>13</v>
      </c>
      <c r="B10" s="5">
        <v>45995</v>
      </c>
      <c r="C10" s="31">
        <v>23762</v>
      </c>
      <c r="D10" s="31">
        <v>23783</v>
      </c>
      <c r="E10" s="6">
        <v>47545</v>
      </c>
    </row>
    <row r="11" spans="1:5" x14ac:dyDescent="0.3">
      <c r="A11" s="4" t="s">
        <v>12</v>
      </c>
      <c r="B11" s="5">
        <v>45996</v>
      </c>
      <c r="C11" s="32">
        <v>23905</v>
      </c>
      <c r="D11" s="32">
        <v>24045</v>
      </c>
      <c r="E11" s="6">
        <v>47950</v>
      </c>
    </row>
    <row r="12" spans="1:5" x14ac:dyDescent="0.3">
      <c r="A12" s="4" t="s">
        <v>15</v>
      </c>
      <c r="B12" s="5">
        <v>45997</v>
      </c>
      <c r="C12" s="7">
        <v>23675</v>
      </c>
      <c r="D12" s="7">
        <v>23707</v>
      </c>
      <c r="E12" s="6">
        <v>47382</v>
      </c>
    </row>
    <row r="13" spans="1:5" x14ac:dyDescent="0.3">
      <c r="A13" s="4" t="s">
        <v>16</v>
      </c>
      <c r="B13" s="5">
        <v>45998</v>
      </c>
      <c r="C13" s="31">
        <v>19356</v>
      </c>
      <c r="D13" s="31">
        <v>18217</v>
      </c>
      <c r="E13" s="6">
        <v>37573</v>
      </c>
    </row>
    <row r="14" spans="1:5" x14ac:dyDescent="0.3">
      <c r="A14" s="4" t="s">
        <v>10</v>
      </c>
      <c r="B14" s="5">
        <v>45999</v>
      </c>
      <c r="C14" s="31">
        <v>22795</v>
      </c>
      <c r="D14" s="31">
        <v>22803</v>
      </c>
      <c r="E14" s="6">
        <v>45598</v>
      </c>
    </row>
    <row r="15" spans="1:5" x14ac:dyDescent="0.3">
      <c r="A15" s="4" t="s">
        <v>14</v>
      </c>
      <c r="B15" s="5">
        <v>46000</v>
      </c>
      <c r="C15" s="31">
        <v>22875</v>
      </c>
      <c r="D15" s="31">
        <v>22879</v>
      </c>
      <c r="E15" s="6">
        <v>45754</v>
      </c>
    </row>
    <row r="16" spans="1:5" x14ac:dyDescent="0.3">
      <c r="A16" s="4" t="s">
        <v>11</v>
      </c>
      <c r="B16" s="5">
        <v>46001</v>
      </c>
      <c r="C16" s="31">
        <v>22020</v>
      </c>
      <c r="D16" s="31">
        <v>21820</v>
      </c>
      <c r="E16" s="6">
        <v>43840</v>
      </c>
    </row>
    <row r="17" spans="1:6" x14ac:dyDescent="0.3">
      <c r="A17" s="4" t="s">
        <v>13</v>
      </c>
      <c r="B17" s="5">
        <v>46002</v>
      </c>
      <c r="C17" s="31">
        <v>22371</v>
      </c>
      <c r="D17" s="31">
        <v>22489</v>
      </c>
      <c r="E17" s="6">
        <v>44860</v>
      </c>
    </row>
    <row r="18" spans="1:6" x14ac:dyDescent="0.3">
      <c r="A18" s="4" t="s">
        <v>12</v>
      </c>
      <c r="B18" s="5">
        <v>46003</v>
      </c>
      <c r="C18" s="31">
        <v>23799</v>
      </c>
      <c r="D18" s="31">
        <v>23657</v>
      </c>
      <c r="E18" s="6">
        <v>47456</v>
      </c>
    </row>
    <row r="19" spans="1:6" x14ac:dyDescent="0.3">
      <c r="A19" s="4" t="s">
        <v>15</v>
      </c>
      <c r="B19" s="5">
        <v>46004</v>
      </c>
      <c r="C19" s="31">
        <v>21714</v>
      </c>
      <c r="D19" s="31">
        <v>21501</v>
      </c>
      <c r="E19" s="6">
        <v>43215</v>
      </c>
    </row>
    <row r="20" spans="1:6" x14ac:dyDescent="0.3">
      <c r="A20" s="4" t="s">
        <v>16</v>
      </c>
      <c r="B20" s="5">
        <v>46005</v>
      </c>
      <c r="C20" s="31">
        <v>12634</v>
      </c>
      <c r="D20" s="31">
        <v>11441</v>
      </c>
      <c r="E20" s="6">
        <v>24075</v>
      </c>
    </row>
    <row r="21" spans="1:6" x14ac:dyDescent="0.3">
      <c r="A21" s="4" t="s">
        <v>10</v>
      </c>
      <c r="B21" s="5">
        <v>46006</v>
      </c>
      <c r="C21" s="31">
        <v>22387</v>
      </c>
      <c r="D21" s="31">
        <v>22048</v>
      </c>
      <c r="E21" s="6">
        <v>44435</v>
      </c>
    </row>
    <row r="22" spans="1:6" x14ac:dyDescent="0.3">
      <c r="A22" s="4" t="s">
        <v>14</v>
      </c>
      <c r="B22" s="5">
        <v>46007</v>
      </c>
      <c r="C22" s="31">
        <v>22616</v>
      </c>
      <c r="D22" s="31">
        <v>22580</v>
      </c>
      <c r="E22" s="6">
        <v>45196</v>
      </c>
    </row>
    <row r="23" spans="1:6" x14ac:dyDescent="0.3">
      <c r="A23" s="4" t="s">
        <v>11</v>
      </c>
      <c r="B23" s="5">
        <v>46008</v>
      </c>
      <c r="C23" s="31">
        <v>23509</v>
      </c>
      <c r="D23" s="32">
        <v>23022</v>
      </c>
      <c r="E23" s="6">
        <v>46531</v>
      </c>
    </row>
    <row r="24" spans="1:6" x14ac:dyDescent="0.3">
      <c r="A24" s="4" t="s">
        <v>13</v>
      </c>
      <c r="B24" s="5">
        <v>46009</v>
      </c>
      <c r="C24" s="31">
        <v>23831</v>
      </c>
      <c r="D24" s="32">
        <v>23980</v>
      </c>
      <c r="E24" s="6">
        <v>47811</v>
      </c>
    </row>
    <row r="25" spans="1:6" x14ac:dyDescent="0.3">
      <c r="A25" s="4" t="s">
        <v>12</v>
      </c>
      <c r="B25" s="5">
        <v>46010</v>
      </c>
      <c r="C25" s="31">
        <v>19281</v>
      </c>
      <c r="D25" s="32">
        <v>19213</v>
      </c>
      <c r="E25" s="6">
        <v>38494</v>
      </c>
    </row>
    <row r="26" spans="1:6" x14ac:dyDescent="0.3">
      <c r="A26" s="4" t="s">
        <v>15</v>
      </c>
      <c r="B26" s="5">
        <v>46011</v>
      </c>
      <c r="C26" s="31">
        <v>23780</v>
      </c>
      <c r="D26" s="31">
        <v>23403</v>
      </c>
      <c r="E26" s="6">
        <v>47183</v>
      </c>
    </row>
    <row r="27" spans="1:6" x14ac:dyDescent="0.3">
      <c r="A27" s="4" t="s">
        <v>16</v>
      </c>
      <c r="B27" s="5">
        <v>46012</v>
      </c>
      <c r="C27" s="31">
        <v>21193</v>
      </c>
      <c r="D27" s="32">
        <v>20106</v>
      </c>
      <c r="E27" s="6">
        <v>41299</v>
      </c>
    </row>
    <row r="28" spans="1:6" x14ac:dyDescent="0.3">
      <c r="A28" s="4" t="s">
        <v>10</v>
      </c>
      <c r="B28" s="5">
        <v>46013</v>
      </c>
      <c r="C28" s="31">
        <v>28823</v>
      </c>
      <c r="D28" s="31">
        <v>28728</v>
      </c>
      <c r="E28" s="6">
        <v>57551</v>
      </c>
    </row>
    <row r="29" spans="1:6" x14ac:dyDescent="0.3">
      <c r="A29" s="4" t="s">
        <v>14</v>
      </c>
      <c r="B29" s="5">
        <v>46014</v>
      </c>
      <c r="C29" s="31">
        <v>21100</v>
      </c>
      <c r="D29" s="31">
        <v>21022</v>
      </c>
      <c r="E29" s="6">
        <v>42122</v>
      </c>
    </row>
    <row r="30" spans="1:6" x14ac:dyDescent="0.3">
      <c r="A30" s="8" t="s">
        <v>11</v>
      </c>
      <c r="B30" s="9">
        <v>46015</v>
      </c>
      <c r="C30" s="33">
        <v>27718</v>
      </c>
      <c r="D30" s="33">
        <v>26396</v>
      </c>
      <c r="E30" s="10">
        <v>54114</v>
      </c>
      <c r="F30" s="16" t="s">
        <v>17</v>
      </c>
    </row>
    <row r="31" spans="1:6" x14ac:dyDescent="0.3">
      <c r="A31" s="8" t="s">
        <v>13</v>
      </c>
      <c r="B31" s="9">
        <v>46016</v>
      </c>
      <c r="C31" s="33">
        <v>24283</v>
      </c>
      <c r="D31" s="33">
        <v>23546</v>
      </c>
      <c r="E31" s="10">
        <v>47829</v>
      </c>
      <c r="F31" s="16" t="s">
        <v>18</v>
      </c>
    </row>
    <row r="32" spans="1:6" x14ac:dyDescent="0.3">
      <c r="A32" s="4" t="s">
        <v>12</v>
      </c>
      <c r="B32" s="5">
        <v>46017</v>
      </c>
      <c r="C32" s="31">
        <v>24973</v>
      </c>
      <c r="D32" s="31">
        <v>24926</v>
      </c>
      <c r="E32" s="6">
        <v>49899</v>
      </c>
    </row>
    <row r="33" spans="1:6" x14ac:dyDescent="0.3">
      <c r="A33" s="4" t="s">
        <v>15</v>
      </c>
      <c r="B33" s="5">
        <v>46018</v>
      </c>
      <c r="C33" s="31">
        <v>18838</v>
      </c>
      <c r="D33" s="31">
        <v>18621</v>
      </c>
      <c r="E33" s="6">
        <v>37459</v>
      </c>
    </row>
    <row r="34" spans="1:6" x14ac:dyDescent="0.3">
      <c r="A34" s="4" t="s">
        <v>16</v>
      </c>
      <c r="B34" s="5">
        <v>46019</v>
      </c>
      <c r="C34" s="31">
        <v>25009</v>
      </c>
      <c r="D34" s="31">
        <v>24426</v>
      </c>
      <c r="E34" s="6">
        <v>49435</v>
      </c>
    </row>
    <row r="35" spans="1:6" x14ac:dyDescent="0.3">
      <c r="A35" s="4" t="s">
        <v>10</v>
      </c>
      <c r="B35" s="5">
        <v>46020</v>
      </c>
      <c r="C35" s="31">
        <v>25856</v>
      </c>
      <c r="D35" s="31">
        <v>25726</v>
      </c>
      <c r="E35" s="6">
        <v>51582</v>
      </c>
    </row>
    <row r="36" spans="1:6" x14ac:dyDescent="0.3">
      <c r="A36" s="4" t="s">
        <v>14</v>
      </c>
      <c r="B36" s="5">
        <v>46021</v>
      </c>
      <c r="C36" s="31">
        <v>32577</v>
      </c>
      <c r="D36" s="31">
        <v>32135</v>
      </c>
      <c r="E36" s="6">
        <v>64712</v>
      </c>
    </row>
    <row r="37" spans="1:6" x14ac:dyDescent="0.3">
      <c r="A37" s="8" t="s">
        <v>11</v>
      </c>
      <c r="B37" s="9">
        <v>46022</v>
      </c>
      <c r="C37" s="34">
        <v>25970</v>
      </c>
      <c r="D37" s="34">
        <v>27109</v>
      </c>
      <c r="E37" s="10">
        <v>53079</v>
      </c>
      <c r="F37" s="16" t="s">
        <v>19</v>
      </c>
    </row>
    <row r="38" spans="1:6" ht="15" thickBot="1" x14ac:dyDescent="0.35">
      <c r="A38" s="47" t="s">
        <v>2</v>
      </c>
      <c r="B38" s="48"/>
      <c r="C38" s="35">
        <f>SUM(C7:C37)</f>
        <v>716440</v>
      </c>
      <c r="D38" s="35">
        <f>SUM(D7:D37)</f>
        <v>708912</v>
      </c>
      <c r="E38" s="11">
        <f>SUM(E7:E37)</f>
        <v>1425352</v>
      </c>
    </row>
    <row r="39" spans="1:6" ht="15" thickBot="1" x14ac:dyDescent="0.35">
      <c r="B39" s="12"/>
      <c r="C39" s="36"/>
      <c r="D39" s="36"/>
      <c r="E39" s="13"/>
    </row>
    <row r="40" spans="1:6" ht="13.5" customHeight="1" thickBot="1" x14ac:dyDescent="0.35">
      <c r="A40" s="39" t="s">
        <v>8</v>
      </c>
      <c r="B40" s="40"/>
      <c r="C40" s="40"/>
      <c r="D40" s="40"/>
      <c r="E40" s="14">
        <f>E38</f>
        <v>1425352</v>
      </c>
    </row>
  </sheetData>
  <mergeCells count="8">
    <mergeCell ref="A4:E4"/>
    <mergeCell ref="A40:D40"/>
    <mergeCell ref="A5:A6"/>
    <mergeCell ref="B5:B6"/>
    <mergeCell ref="C5:C6"/>
    <mergeCell ref="D5:D6"/>
    <mergeCell ref="E5:E6"/>
    <mergeCell ref="A38:B38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B80B-D40E-4A67-BFD7-5C313BB9C134}">
  <dimension ref="A2:F51"/>
  <sheetViews>
    <sheetView topLeftCell="A9" workbookViewId="0">
      <selection activeCell="A35" sqref="A35:A36"/>
    </sheetView>
  </sheetViews>
  <sheetFormatPr defaultColWidth="9.109375" defaultRowHeight="14.4" x14ac:dyDescent="0.3"/>
  <cols>
    <col min="1" max="1" width="8.33203125" style="2" customWidth="1"/>
    <col min="2" max="2" width="11.44140625" style="2" customWidth="1"/>
    <col min="3" max="4" width="13" style="2" customWidth="1"/>
    <col min="5" max="5" width="14" style="2" customWidth="1"/>
    <col min="6" max="6" width="15.6640625" style="2" customWidth="1"/>
    <col min="7" max="16384" width="9.109375" style="1"/>
  </cols>
  <sheetData>
    <row r="2" spans="1:5" x14ac:dyDescent="0.3">
      <c r="A2" s="49" t="s">
        <v>21</v>
      </c>
      <c r="B2" s="49"/>
      <c r="C2" s="49"/>
      <c r="D2" s="49"/>
      <c r="E2" s="49"/>
    </row>
    <row r="3" spans="1:5" ht="11.25" customHeight="1" x14ac:dyDescent="0.3">
      <c r="A3" s="43" t="s">
        <v>0</v>
      </c>
      <c r="B3" s="43" t="s">
        <v>1</v>
      </c>
      <c r="C3" s="50" t="s">
        <v>3</v>
      </c>
      <c r="D3" s="43" t="s">
        <v>4</v>
      </c>
      <c r="E3" s="51" t="s">
        <v>9</v>
      </c>
    </row>
    <row r="4" spans="1:5" ht="21.75" customHeight="1" x14ac:dyDescent="0.3">
      <c r="A4" s="43"/>
      <c r="B4" s="43"/>
      <c r="C4" s="50"/>
      <c r="D4" s="43"/>
      <c r="E4" s="51"/>
    </row>
    <row r="5" spans="1:5" x14ac:dyDescent="0.3">
      <c r="A5" s="4" t="s">
        <v>10</v>
      </c>
      <c r="B5" s="5">
        <v>45992</v>
      </c>
      <c r="C5" s="17">
        <v>23801</v>
      </c>
      <c r="D5" s="17">
        <v>23794</v>
      </c>
      <c r="E5" s="18">
        <f t="shared" ref="E5:E23" si="0">SUM(C5:D5)</f>
        <v>47595</v>
      </c>
    </row>
    <row r="6" spans="1:5" x14ac:dyDescent="0.3">
      <c r="A6" s="4" t="s">
        <v>14</v>
      </c>
      <c r="B6" s="5">
        <v>45993</v>
      </c>
      <c r="C6" s="17">
        <v>17720</v>
      </c>
      <c r="D6" s="17">
        <v>17482</v>
      </c>
      <c r="E6" s="18">
        <f t="shared" si="0"/>
        <v>35202</v>
      </c>
    </row>
    <row r="7" spans="1:5" x14ac:dyDescent="0.3">
      <c r="A7" s="4" t="s">
        <v>11</v>
      </c>
      <c r="B7" s="5">
        <v>45994</v>
      </c>
      <c r="C7" s="17">
        <v>24269</v>
      </c>
      <c r="D7" s="17">
        <v>24307</v>
      </c>
      <c r="E7" s="18">
        <f t="shared" si="0"/>
        <v>48576</v>
      </c>
    </row>
    <row r="8" spans="1:5" x14ac:dyDescent="0.3">
      <c r="A8" s="4" t="s">
        <v>13</v>
      </c>
      <c r="B8" s="5">
        <v>45995</v>
      </c>
      <c r="C8" s="17">
        <v>23762</v>
      </c>
      <c r="D8" s="17">
        <v>23783</v>
      </c>
      <c r="E8" s="18">
        <f>SUM(C8:D8)</f>
        <v>47545</v>
      </c>
    </row>
    <row r="9" spans="1:5" x14ac:dyDescent="0.3">
      <c r="A9" s="4" t="s">
        <v>12</v>
      </c>
      <c r="B9" s="5">
        <v>45996</v>
      </c>
      <c r="C9" s="17">
        <v>23905</v>
      </c>
      <c r="D9" s="17">
        <v>24045</v>
      </c>
      <c r="E9" s="18">
        <f t="shared" si="0"/>
        <v>47950</v>
      </c>
    </row>
    <row r="10" spans="1:5" x14ac:dyDescent="0.3">
      <c r="A10" s="4" t="s">
        <v>10</v>
      </c>
      <c r="B10" s="5">
        <v>45999</v>
      </c>
      <c r="C10" s="17">
        <v>22795</v>
      </c>
      <c r="D10" s="17">
        <v>22803</v>
      </c>
      <c r="E10" s="18">
        <f t="shared" si="0"/>
        <v>45598</v>
      </c>
    </row>
    <row r="11" spans="1:5" x14ac:dyDescent="0.3">
      <c r="A11" s="4" t="s">
        <v>14</v>
      </c>
      <c r="B11" s="5">
        <v>46000</v>
      </c>
      <c r="C11" s="17">
        <v>22875</v>
      </c>
      <c r="D11" s="17">
        <v>22879</v>
      </c>
      <c r="E11" s="18">
        <f t="shared" si="0"/>
        <v>45754</v>
      </c>
    </row>
    <row r="12" spans="1:5" x14ac:dyDescent="0.3">
      <c r="A12" s="4" t="s">
        <v>11</v>
      </c>
      <c r="B12" s="5">
        <v>46001</v>
      </c>
      <c r="C12" s="17">
        <v>22020</v>
      </c>
      <c r="D12" s="17">
        <v>21820</v>
      </c>
      <c r="E12" s="18">
        <f t="shared" si="0"/>
        <v>43840</v>
      </c>
    </row>
    <row r="13" spans="1:5" x14ac:dyDescent="0.3">
      <c r="A13" s="4" t="s">
        <v>13</v>
      </c>
      <c r="B13" s="5">
        <v>46002</v>
      </c>
      <c r="C13" s="17">
        <v>22371</v>
      </c>
      <c r="D13" s="17">
        <v>22489</v>
      </c>
      <c r="E13" s="18">
        <f t="shared" si="0"/>
        <v>44860</v>
      </c>
    </row>
    <row r="14" spans="1:5" x14ac:dyDescent="0.3">
      <c r="A14" s="4" t="s">
        <v>12</v>
      </c>
      <c r="B14" s="5">
        <v>46003</v>
      </c>
      <c r="C14" s="17">
        <v>23799</v>
      </c>
      <c r="D14" s="17">
        <v>23657</v>
      </c>
      <c r="E14" s="18">
        <f t="shared" si="0"/>
        <v>47456</v>
      </c>
    </row>
    <row r="15" spans="1:5" x14ac:dyDescent="0.3">
      <c r="A15" s="4" t="s">
        <v>10</v>
      </c>
      <c r="B15" s="5">
        <v>46006</v>
      </c>
      <c r="C15" s="17">
        <v>22387</v>
      </c>
      <c r="D15" s="17">
        <v>22048</v>
      </c>
      <c r="E15" s="18">
        <f t="shared" si="0"/>
        <v>44435</v>
      </c>
    </row>
    <row r="16" spans="1:5" x14ac:dyDescent="0.3">
      <c r="A16" s="4" t="s">
        <v>14</v>
      </c>
      <c r="B16" s="5">
        <v>46007</v>
      </c>
      <c r="C16" s="17">
        <v>22616</v>
      </c>
      <c r="D16" s="18">
        <v>22580</v>
      </c>
      <c r="E16" s="18">
        <f t="shared" si="0"/>
        <v>45196</v>
      </c>
    </row>
    <row r="17" spans="1:6" x14ac:dyDescent="0.3">
      <c r="A17" s="4" t="s">
        <v>11</v>
      </c>
      <c r="B17" s="5">
        <v>46008</v>
      </c>
      <c r="C17" s="18">
        <v>23509</v>
      </c>
      <c r="D17" s="18">
        <v>23022</v>
      </c>
      <c r="E17" s="18">
        <f t="shared" si="0"/>
        <v>46531</v>
      </c>
    </row>
    <row r="18" spans="1:6" x14ac:dyDescent="0.3">
      <c r="A18" s="4" t="s">
        <v>13</v>
      </c>
      <c r="B18" s="5">
        <v>46009</v>
      </c>
      <c r="C18" s="18">
        <v>23831</v>
      </c>
      <c r="D18" s="18">
        <v>23980</v>
      </c>
      <c r="E18" s="18">
        <f t="shared" si="0"/>
        <v>47811</v>
      </c>
    </row>
    <row r="19" spans="1:6" x14ac:dyDescent="0.3">
      <c r="A19" s="4" t="s">
        <v>12</v>
      </c>
      <c r="B19" s="5">
        <v>46010</v>
      </c>
      <c r="C19" s="17">
        <v>19281</v>
      </c>
      <c r="D19" s="17">
        <v>19213</v>
      </c>
      <c r="E19" s="18">
        <f t="shared" si="0"/>
        <v>38494</v>
      </c>
    </row>
    <row r="20" spans="1:6" x14ac:dyDescent="0.3">
      <c r="A20" s="4" t="s">
        <v>10</v>
      </c>
      <c r="B20" s="5">
        <v>46013</v>
      </c>
      <c r="C20" s="17">
        <v>28823</v>
      </c>
      <c r="D20" s="17">
        <v>28728</v>
      </c>
      <c r="E20" s="18">
        <f t="shared" si="0"/>
        <v>57551</v>
      </c>
    </row>
    <row r="21" spans="1:6" x14ac:dyDescent="0.3">
      <c r="A21" s="4" t="s">
        <v>14</v>
      </c>
      <c r="B21" s="5">
        <v>46014</v>
      </c>
      <c r="C21" s="17">
        <v>21100</v>
      </c>
      <c r="D21" s="17">
        <v>21022</v>
      </c>
      <c r="E21" s="18">
        <f t="shared" si="0"/>
        <v>42122</v>
      </c>
    </row>
    <row r="22" spans="1:6" x14ac:dyDescent="0.3">
      <c r="A22" s="8" t="s">
        <v>11</v>
      </c>
      <c r="B22" s="9">
        <v>46015</v>
      </c>
      <c r="C22" s="19">
        <v>27718</v>
      </c>
      <c r="D22" s="19">
        <v>26396</v>
      </c>
      <c r="E22" s="20">
        <f t="shared" si="0"/>
        <v>54114</v>
      </c>
      <c r="F22" s="16" t="s">
        <v>17</v>
      </c>
    </row>
    <row r="23" spans="1:6" x14ac:dyDescent="0.3">
      <c r="A23" s="8" t="s">
        <v>13</v>
      </c>
      <c r="B23" s="9">
        <v>46016</v>
      </c>
      <c r="C23" s="19">
        <v>24283</v>
      </c>
      <c r="D23" s="19">
        <v>23546</v>
      </c>
      <c r="E23" s="20">
        <f t="shared" si="0"/>
        <v>47829</v>
      </c>
      <c r="F23" s="16" t="s">
        <v>18</v>
      </c>
    </row>
    <row r="24" spans="1:6" x14ac:dyDescent="0.3">
      <c r="A24" s="4" t="s">
        <v>12</v>
      </c>
      <c r="B24" s="5">
        <v>46017</v>
      </c>
      <c r="C24" s="17">
        <v>24973</v>
      </c>
      <c r="D24" s="17">
        <v>24926</v>
      </c>
      <c r="E24" s="18">
        <f>SUM(C24:D24)</f>
        <v>49899</v>
      </c>
    </row>
    <row r="25" spans="1:6" x14ac:dyDescent="0.3">
      <c r="A25" s="4" t="s">
        <v>10</v>
      </c>
      <c r="B25" s="5">
        <v>46020</v>
      </c>
      <c r="C25" s="17">
        <v>25856</v>
      </c>
      <c r="D25" s="17">
        <v>25726</v>
      </c>
      <c r="E25" s="18">
        <f>SUM(C25:D25)</f>
        <v>51582</v>
      </c>
    </row>
    <row r="26" spans="1:6" x14ac:dyDescent="0.3">
      <c r="A26" s="4" t="s">
        <v>14</v>
      </c>
      <c r="B26" s="5">
        <v>46021</v>
      </c>
      <c r="C26" s="17">
        <v>32577</v>
      </c>
      <c r="D26" s="17">
        <v>32135</v>
      </c>
      <c r="E26" s="18">
        <f>SUM(C26:D26)</f>
        <v>64712</v>
      </c>
      <c r="F26" s="1"/>
    </row>
    <row r="27" spans="1:6" x14ac:dyDescent="0.3">
      <c r="A27" s="8" t="s">
        <v>11</v>
      </c>
      <c r="B27" s="9">
        <v>46022</v>
      </c>
      <c r="C27" s="19">
        <v>25970</v>
      </c>
      <c r="D27" s="19">
        <v>27109</v>
      </c>
      <c r="E27" s="20">
        <f>SUM(C27:D27)</f>
        <v>53079</v>
      </c>
      <c r="F27" s="16" t="s">
        <v>19</v>
      </c>
    </row>
    <row r="28" spans="1:6" x14ac:dyDescent="0.3">
      <c r="A28" s="53" t="s">
        <v>2</v>
      </c>
      <c r="B28" s="53"/>
      <c r="C28" s="21">
        <f>SUM(C5:C27)</f>
        <v>550241</v>
      </c>
      <c r="D28" s="21">
        <f>SUM(D5:D27)</f>
        <v>547490</v>
      </c>
      <c r="E28" s="21">
        <f>SUM(E5:E27)</f>
        <v>1097731</v>
      </c>
    </row>
    <row r="29" spans="1:6" x14ac:dyDescent="0.3">
      <c r="C29" s="22"/>
      <c r="D29" s="22"/>
      <c r="E29" s="22"/>
    </row>
    <row r="30" spans="1:6" x14ac:dyDescent="0.3">
      <c r="A30" s="52" t="s">
        <v>22</v>
      </c>
      <c r="B30" s="52"/>
      <c r="C30" s="52"/>
      <c r="D30" s="52"/>
      <c r="E30" s="23">
        <f>E28</f>
        <v>1097731</v>
      </c>
    </row>
    <row r="31" spans="1:6" x14ac:dyDescent="0.3">
      <c r="A31" s="52" t="s">
        <v>7</v>
      </c>
      <c r="B31" s="52"/>
      <c r="C31" s="52"/>
      <c r="D31" s="52"/>
      <c r="E31" s="23">
        <f>AVERAGE(E5:E27)</f>
        <v>47727.434782608696</v>
      </c>
    </row>
    <row r="32" spans="1:6" x14ac:dyDescent="0.3">
      <c r="A32" s="54"/>
      <c r="B32" s="54"/>
      <c r="C32" s="54"/>
      <c r="D32" s="54"/>
      <c r="E32" s="55"/>
    </row>
    <row r="34" spans="1:5" x14ac:dyDescent="0.3">
      <c r="A34" s="49" t="s">
        <v>23</v>
      </c>
      <c r="B34" s="49"/>
      <c r="C34" s="49"/>
      <c r="D34" s="49"/>
      <c r="E34" s="49"/>
    </row>
    <row r="35" spans="1:5" x14ac:dyDescent="0.3">
      <c r="A35" s="43" t="s">
        <v>0</v>
      </c>
      <c r="B35" s="43" t="s">
        <v>1</v>
      </c>
      <c r="C35" s="50" t="s">
        <v>3</v>
      </c>
      <c r="D35" s="50" t="s">
        <v>4</v>
      </c>
      <c r="E35" s="51" t="s">
        <v>9</v>
      </c>
    </row>
    <row r="36" spans="1:5" ht="14.25" customHeight="1" x14ac:dyDescent="0.3">
      <c r="A36" s="43"/>
      <c r="B36" s="43"/>
      <c r="C36" s="50"/>
      <c r="D36" s="50"/>
      <c r="E36" s="51"/>
    </row>
    <row r="37" spans="1:5" hidden="1" x14ac:dyDescent="0.3">
      <c r="A37" s="4" t="str">
        <f t="shared" ref="A37:A45" si="1">CHOOSE(WEEKDAY(B37),"SUN","MON","TUES","WED","THU","FRI","SAT")</f>
        <v>TUES</v>
      </c>
      <c r="B37" s="24">
        <v>45930</v>
      </c>
      <c r="C37" s="17"/>
      <c r="D37" s="17"/>
      <c r="E37" s="18">
        <f>SUM(C37:D37)</f>
        <v>0</v>
      </c>
    </row>
    <row r="38" spans="1:5" x14ac:dyDescent="0.3">
      <c r="A38" s="4" t="str">
        <f t="shared" si="1"/>
        <v>SAT</v>
      </c>
      <c r="B38" s="5">
        <v>45997</v>
      </c>
      <c r="C38" s="17">
        <v>23675</v>
      </c>
      <c r="D38" s="25">
        <v>23707</v>
      </c>
      <c r="E38" s="18">
        <f>C38+D38</f>
        <v>47382</v>
      </c>
    </row>
    <row r="39" spans="1:5" x14ac:dyDescent="0.3">
      <c r="A39" s="4" t="str">
        <f t="shared" si="1"/>
        <v>SUN</v>
      </c>
      <c r="B39" s="5">
        <v>45998</v>
      </c>
      <c r="C39" s="17">
        <v>19356</v>
      </c>
      <c r="D39" s="25">
        <v>18217</v>
      </c>
      <c r="E39" s="18">
        <f t="shared" ref="E39:E45" si="2">C39+D39</f>
        <v>37573</v>
      </c>
    </row>
    <row r="40" spans="1:5" x14ac:dyDescent="0.3">
      <c r="A40" s="4" t="str">
        <f t="shared" si="1"/>
        <v>SAT</v>
      </c>
      <c r="B40" s="5">
        <v>46004</v>
      </c>
      <c r="C40" s="17">
        <v>21714</v>
      </c>
      <c r="D40" s="25">
        <v>21501</v>
      </c>
      <c r="E40" s="18">
        <f t="shared" si="2"/>
        <v>43215</v>
      </c>
    </row>
    <row r="41" spans="1:5" x14ac:dyDescent="0.3">
      <c r="A41" s="4" t="str">
        <f t="shared" si="1"/>
        <v>SUN</v>
      </c>
      <c r="B41" s="5">
        <v>46005</v>
      </c>
      <c r="C41" s="17">
        <v>12634</v>
      </c>
      <c r="D41" s="25">
        <v>11441</v>
      </c>
      <c r="E41" s="18">
        <f t="shared" si="2"/>
        <v>24075</v>
      </c>
    </row>
    <row r="42" spans="1:5" x14ac:dyDescent="0.3">
      <c r="A42" s="4" t="str">
        <f t="shared" si="1"/>
        <v>SAT</v>
      </c>
      <c r="B42" s="5">
        <v>46011</v>
      </c>
      <c r="C42" s="17">
        <v>23780</v>
      </c>
      <c r="D42" s="25">
        <v>23403</v>
      </c>
      <c r="E42" s="18">
        <f t="shared" si="2"/>
        <v>47183</v>
      </c>
    </row>
    <row r="43" spans="1:5" x14ac:dyDescent="0.3">
      <c r="A43" s="4" t="str">
        <f t="shared" si="1"/>
        <v>SUN</v>
      </c>
      <c r="B43" s="5">
        <v>46012</v>
      </c>
      <c r="C43" s="17">
        <v>21193</v>
      </c>
      <c r="D43" s="25">
        <v>20106</v>
      </c>
      <c r="E43" s="18">
        <f t="shared" si="2"/>
        <v>41299</v>
      </c>
    </row>
    <row r="44" spans="1:5" x14ac:dyDescent="0.3">
      <c r="A44" s="4" t="str">
        <f t="shared" si="1"/>
        <v>SAT</v>
      </c>
      <c r="B44" s="5">
        <v>46018</v>
      </c>
      <c r="C44" s="17">
        <v>18838</v>
      </c>
      <c r="D44" s="25">
        <v>18621</v>
      </c>
      <c r="E44" s="18">
        <f t="shared" si="2"/>
        <v>37459</v>
      </c>
    </row>
    <row r="45" spans="1:5" x14ac:dyDescent="0.3">
      <c r="A45" s="4" t="str">
        <f t="shared" si="1"/>
        <v>SUN</v>
      </c>
      <c r="B45" s="5">
        <v>46019</v>
      </c>
      <c r="C45" s="17">
        <v>25009</v>
      </c>
      <c r="D45" s="25">
        <v>24426</v>
      </c>
      <c r="E45" s="18">
        <f t="shared" si="2"/>
        <v>49435</v>
      </c>
    </row>
    <row r="46" spans="1:5" x14ac:dyDescent="0.3">
      <c r="A46" s="53" t="s">
        <v>2</v>
      </c>
      <c r="B46" s="53"/>
      <c r="C46" s="21">
        <f>SUM(C37:C45)</f>
        <v>166199</v>
      </c>
      <c r="D46" s="21">
        <f>SUM(D37:D45)</f>
        <v>161422</v>
      </c>
      <c r="E46" s="26">
        <f>SUM(E37:E45)</f>
        <v>327621</v>
      </c>
    </row>
    <row r="47" spans="1:5" x14ac:dyDescent="0.3">
      <c r="C47" s="22"/>
      <c r="D47" s="22"/>
      <c r="E47" s="27"/>
    </row>
    <row r="48" spans="1:5" ht="16.5" customHeight="1" x14ac:dyDescent="0.3">
      <c r="A48" s="52" t="s">
        <v>24</v>
      </c>
      <c r="B48" s="52"/>
      <c r="C48" s="52"/>
      <c r="D48" s="52"/>
      <c r="E48" s="28">
        <f>E46</f>
        <v>327621</v>
      </c>
    </row>
    <row r="49" spans="1:5" x14ac:dyDescent="0.3">
      <c r="A49" s="29"/>
      <c r="B49" s="29"/>
      <c r="C49" s="29"/>
      <c r="D49" s="29"/>
    </row>
    <row r="50" spans="1:5" ht="14.25" customHeight="1" x14ac:dyDescent="0.3">
      <c r="A50" s="52" t="s">
        <v>5</v>
      </c>
      <c r="B50" s="52"/>
      <c r="C50" s="52"/>
      <c r="D50" s="52"/>
      <c r="E50" s="28">
        <f>AVERAGE(E38,E40,E42,E44)</f>
        <v>43809.75</v>
      </c>
    </row>
    <row r="51" spans="1:5" x14ac:dyDescent="0.3">
      <c r="A51" s="52" t="s">
        <v>6</v>
      </c>
      <c r="B51" s="52"/>
      <c r="C51" s="52"/>
      <c r="D51" s="52"/>
      <c r="E51" s="28">
        <f>AVERAGE(E41,E43,E45,E39)</f>
        <v>38095.5</v>
      </c>
    </row>
  </sheetData>
  <mergeCells count="19">
    <mergeCell ref="A48:D48"/>
    <mergeCell ref="E35:E36"/>
    <mergeCell ref="A50:D50"/>
    <mergeCell ref="A51:D51"/>
    <mergeCell ref="A28:B28"/>
    <mergeCell ref="A30:D30"/>
    <mergeCell ref="A31:D31"/>
    <mergeCell ref="A34:E34"/>
    <mergeCell ref="A35:A36"/>
    <mergeCell ref="B35:B36"/>
    <mergeCell ref="C35:C36"/>
    <mergeCell ref="D35:D36"/>
    <mergeCell ref="A46:B46"/>
    <mergeCell ref="A2:E2"/>
    <mergeCell ref="A3:A4"/>
    <mergeCell ref="B3:B4"/>
    <mergeCell ref="C3:C4"/>
    <mergeCell ref="D3:D4"/>
    <mergeCell ref="E3:E4"/>
  </mergeCells>
  <phoneticPr fontId="4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  <ignoredErrors>
    <ignoredError sqref="E3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af822a54c1f8d7b87be89a75b879cc0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68e6e55813a7a305b3663f8b5989f314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9CD0C4-64FE-4B18-A135-B5F519ADF6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1A6D5D-AEA2-4BF8-B4E2-A9C7BE5DF5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B67C5B1-30A7-4882-A8C7-3D0C966FD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2026-04-09T23:50:21Z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