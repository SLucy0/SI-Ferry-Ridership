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B7553B83-0436-4461-8467-5C78BCF144E6}" xr6:coauthVersionLast="47" xr6:coauthVersionMax="47" xr10:uidLastSave="{00000000-0000-0000-0000-000000000000}"/>
  <bookViews>
    <workbookView xWindow="-108" yWindow="-108" windowWidth="23256" windowHeight="13896" xr2:uid="{7DB59982-6105-46EA-A4A5-A9684F87CBDD}"/>
  </bookViews>
  <sheets>
    <sheet name="TOTALS" sheetId="1" r:id="rId1"/>
    <sheet name="Weekday-Weeke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3" l="1"/>
  <c r="D25" i="3"/>
  <c r="C25" i="3"/>
  <c r="E22" i="3"/>
  <c r="E21" i="3"/>
  <c r="E20" i="3"/>
  <c r="E44" i="3"/>
  <c r="E16" i="3"/>
  <c r="E16" i="1"/>
  <c r="E17" i="1"/>
  <c r="E41" i="3"/>
  <c r="E42" i="3"/>
  <c r="E10" i="3"/>
  <c r="E11" i="3"/>
  <c r="E12" i="3"/>
  <c r="E13" i="3"/>
  <c r="E14" i="3"/>
  <c r="E15" i="3"/>
  <c r="E9" i="3"/>
  <c r="E8" i="3"/>
  <c r="E37" i="3"/>
  <c r="E38" i="3"/>
  <c r="E39" i="3"/>
  <c r="E40" i="3"/>
  <c r="E43" i="3"/>
  <c r="E11" i="1"/>
  <c r="E12" i="1"/>
  <c r="E13" i="1"/>
  <c r="E14" i="1"/>
  <c r="E7" i="1"/>
  <c r="E37" i="1" s="1"/>
  <c r="E39" i="1" s="1"/>
  <c r="E8" i="1"/>
  <c r="E9" i="1"/>
  <c r="E10" i="1"/>
  <c r="E15" i="1"/>
  <c r="E18" i="1"/>
  <c r="E19" i="1"/>
  <c r="E20" i="1"/>
  <c r="E21" i="1"/>
  <c r="E22" i="1"/>
  <c r="E23" i="1"/>
  <c r="E24" i="1"/>
  <c r="E23" i="3"/>
  <c r="E18" i="3"/>
  <c r="E17" i="3"/>
  <c r="D37" i="1"/>
  <c r="C37" i="1"/>
  <c r="E6" i="3"/>
  <c r="E7" i="3"/>
  <c r="E5" i="3"/>
  <c r="E19" i="3"/>
  <c r="C47" i="3"/>
  <c r="E45" i="3"/>
  <c r="D47" i="3"/>
  <c r="E24" i="3"/>
  <c r="E51" i="3" l="1"/>
  <c r="E52" i="3"/>
  <c r="E25" i="3"/>
  <c r="E27" i="3" s="1"/>
  <c r="E47" i="3"/>
  <c r="E49" i="3" s="1"/>
  <c r="E28" i="3"/>
</calcChain>
</file>

<file path=xl/sharedStrings.xml><?xml version="1.0" encoding="utf-8"?>
<sst xmlns="http://schemas.openxmlformats.org/spreadsheetml/2006/main" count="95" uniqueCount="26">
  <si>
    <t>Day</t>
  </si>
  <si>
    <t>Date</t>
  </si>
  <si>
    <t>TOTALS:</t>
  </si>
  <si>
    <t>WHT</t>
  </si>
  <si>
    <t>STG</t>
  </si>
  <si>
    <t xml:space="preserve">Average Saturday Passengers: </t>
  </si>
  <si>
    <t xml:space="preserve">Average Sunday Passengers: </t>
  </si>
  <si>
    <t xml:space="preserve">Average Passengers/Weekday: </t>
  </si>
  <si>
    <t xml:space="preserve">PASSENGER COUNT TOTAL:  </t>
  </si>
  <si>
    <t>Combined TOTAL</t>
  </si>
  <si>
    <t>MON</t>
  </si>
  <si>
    <t>WED</t>
  </si>
  <si>
    <t>FRI</t>
  </si>
  <si>
    <t>THU</t>
  </si>
  <si>
    <t>TUE</t>
  </si>
  <si>
    <t>SUN</t>
  </si>
  <si>
    <t>SAT</t>
  </si>
  <si>
    <t xml:space="preserve">November 2025:  WEEKDAY TOTALS </t>
  </si>
  <si>
    <t xml:space="preserve">November 2025:  WEEKEND TOTALS </t>
  </si>
  <si>
    <t>Election Day</t>
  </si>
  <si>
    <t>Veteran's Day</t>
  </si>
  <si>
    <t>NYC Marathon</t>
  </si>
  <si>
    <t>Thanksgiving</t>
  </si>
  <si>
    <t xml:space="preserve">Total Weekend Pax Count November 2025: </t>
  </si>
  <si>
    <t xml:space="preserve">Total Weekday Pax Count November 2025: </t>
  </si>
  <si>
    <t>November 2025 Staten Island Ferry Ridership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</si>
</sst>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1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6" fillId="0" borderId="0" xfId="0" applyFont="1"/>
    <xf numFmtId="41" fontId="7" fillId="2" borderId="1" xfId="0" applyNumberFormat="1" applyFont="1" applyFill="1" applyBorder="1" applyAlignment="1">
      <alignment horizontal="center"/>
    </xf>
    <xf numFmtId="41" fontId="4" fillId="0" borderId="0" xfId="0" applyNumberFormat="1" applyFont="1" applyAlignment="1">
      <alignment horizontal="center"/>
    </xf>
    <xf numFmtId="37" fontId="7" fillId="2" borderId="1" xfId="0" applyNumberFormat="1" applyFont="1" applyFill="1" applyBorder="1" applyAlignment="1">
      <alignment horizontal="right"/>
    </xf>
    <xf numFmtId="14" fontId="4" fillId="0" borderId="1" xfId="0" applyNumberFormat="1" applyFont="1" applyBorder="1"/>
    <xf numFmtId="0" fontId="5" fillId="0" borderId="1" xfId="0" applyFont="1" applyBorder="1" applyAlignment="1">
      <alignment horizontal="center"/>
    </xf>
    <xf numFmtId="37" fontId="7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/>
    </xf>
    <xf numFmtId="0" fontId="8" fillId="5" borderId="0" xfId="0" applyFont="1" applyFill="1"/>
    <xf numFmtId="0" fontId="8" fillId="5" borderId="2" xfId="0" applyFont="1" applyFill="1" applyBorder="1" applyAlignment="1">
      <alignment vertical="center"/>
    </xf>
    <xf numFmtId="0" fontId="7" fillId="0" borderId="0" xfId="0" applyFont="1"/>
    <xf numFmtId="3" fontId="5" fillId="0" borderId="3" xfId="0" applyNumberFormat="1" applyFont="1" applyBorder="1" applyAlignment="1">
      <alignment horizontal="center"/>
    </xf>
    <xf numFmtId="41" fontId="7" fillId="2" borderId="4" xfId="0" applyNumberFormat="1" applyFont="1" applyFill="1" applyBorder="1" applyAlignment="1">
      <alignment horizontal="center"/>
    </xf>
    <xf numFmtId="14" fontId="7" fillId="0" borderId="0" xfId="0" applyNumberFormat="1" applyFont="1" applyAlignment="1">
      <alignment horizontal="right"/>
    </xf>
    <xf numFmtId="41" fontId="7" fillId="0" borderId="0" xfId="0" applyNumberFormat="1" applyFont="1" applyAlignment="1">
      <alignment horizontal="center"/>
    </xf>
    <xf numFmtId="37" fontId="7" fillId="0" borderId="0" xfId="0" applyNumberFormat="1" applyFont="1" applyAlignment="1">
      <alignment horizontal="center"/>
    </xf>
    <xf numFmtId="41" fontId="7" fillId="2" borderId="5" xfId="0" applyNumberFormat="1" applyFont="1" applyFill="1" applyBorder="1" applyAlignment="1">
      <alignment horizontal="center"/>
    </xf>
    <xf numFmtId="17" fontId="9" fillId="3" borderId="6" xfId="0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 vertical="center"/>
    </xf>
    <xf numFmtId="0" fontId="4" fillId="0" borderId="10" xfId="0" applyFont="1" applyBorder="1"/>
    <xf numFmtId="0" fontId="10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0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top" wrapText="1"/>
    </xf>
    <xf numFmtId="0" fontId="10" fillId="4" borderId="11" xfId="0" applyFont="1" applyFill="1" applyBorder="1" applyAlignment="1">
      <alignment horizontal="center" vertical="top" wrapText="1"/>
    </xf>
    <xf numFmtId="14" fontId="7" fillId="2" borderId="12" xfId="0" applyNumberFormat="1" applyFont="1" applyFill="1" applyBorder="1" applyAlignment="1">
      <alignment horizontal="center"/>
    </xf>
    <xf numFmtId="14" fontId="7" fillId="2" borderId="13" xfId="0" applyNumberFormat="1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41" fontId="7" fillId="2" borderId="1" xfId="0" applyNumberFormat="1" applyFont="1" applyFill="1" applyBorder="1" applyAlignment="1">
      <alignment horizontal="right"/>
    </xf>
    <xf numFmtId="0" fontId="10" fillId="4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/>
    </xf>
    <xf numFmtId="41" fontId="7" fillId="2" borderId="0" xfId="0" applyNumberFormat="1" applyFont="1" applyFill="1" applyBorder="1" applyAlignment="1">
      <alignment horizontal="right"/>
    </xf>
    <xf numFmtId="37" fontId="7" fillId="2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0</xdr:col>
      <xdr:colOff>800100</xdr:colOff>
      <xdr:row>2</xdr:row>
      <xdr:rowOff>133350</xdr:rowOff>
    </xdr:to>
    <xdr:pic>
      <xdr:nvPicPr>
        <xdr:cNvPr id="11280" name="Picture 31" descr="DOT%20Logo_green">
          <a:extLst>
            <a:ext uri="{FF2B5EF4-FFF2-40B4-BE49-F238E27FC236}">
              <a16:creationId xmlns:a16="http://schemas.microsoft.com/office/drawing/2014/main" id="{3DDBD000-122B-8937-1ABA-54742176E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38100"/>
          <a:ext cx="733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C79B-938C-40FC-87D5-65900C553F94}">
  <dimension ref="A1:F39"/>
  <sheetViews>
    <sheetView tabSelected="1" zoomScale="90" zoomScaleNormal="90" workbookViewId="0">
      <selection activeCell="A5" sqref="A5:A6"/>
    </sheetView>
  </sheetViews>
  <sheetFormatPr defaultColWidth="9.109375" defaultRowHeight="14.4" x14ac:dyDescent="0.3"/>
  <cols>
    <col min="1" max="1" width="14.5546875" style="2" customWidth="1"/>
    <col min="2" max="2" width="20.6640625" style="2" customWidth="1"/>
    <col min="3" max="4" width="12.33203125" style="2" customWidth="1"/>
    <col min="5" max="5" width="18.6640625" style="2" customWidth="1"/>
    <col min="6" max="6" width="40.6640625" style="2" customWidth="1"/>
    <col min="7" max="10" width="9.109375" style="1"/>
    <col min="11" max="11" width="9.6640625" style="1" bestFit="1" customWidth="1"/>
    <col min="12" max="16384" width="9.109375" style="1"/>
  </cols>
  <sheetData>
    <row r="1" spans="1:6" ht="12.75" customHeight="1" x14ac:dyDescent="0.3"/>
    <row r="2" spans="1:6" x14ac:dyDescent="0.3">
      <c r="A2" s="18"/>
      <c r="B2" s="18" t="s">
        <v>25</v>
      </c>
      <c r="C2" s="18"/>
      <c r="D2" s="18"/>
      <c r="E2" s="18"/>
    </row>
    <row r="3" spans="1:6" ht="15" customHeight="1" thickBot="1" x14ac:dyDescent="0.35"/>
    <row r="4" spans="1:6" x14ac:dyDescent="0.3">
      <c r="A4" s="25">
        <v>45962</v>
      </c>
      <c r="B4" s="26"/>
      <c r="C4" s="26"/>
      <c r="D4" s="26"/>
      <c r="E4" s="26"/>
    </row>
    <row r="5" spans="1:6" x14ac:dyDescent="0.3">
      <c r="A5" s="29" t="s">
        <v>0</v>
      </c>
      <c r="B5" s="31" t="s">
        <v>1</v>
      </c>
      <c r="C5" s="33" t="s">
        <v>3</v>
      </c>
      <c r="D5" s="31" t="s">
        <v>4</v>
      </c>
      <c r="E5" s="34" t="s">
        <v>9</v>
      </c>
    </row>
    <row r="6" spans="1:6" x14ac:dyDescent="0.3">
      <c r="A6" s="30"/>
      <c r="B6" s="32"/>
      <c r="C6" s="32"/>
      <c r="D6" s="32"/>
      <c r="E6" s="35"/>
    </row>
    <row r="7" spans="1:6" x14ac:dyDescent="0.3">
      <c r="A7" s="3" t="s">
        <v>16</v>
      </c>
      <c r="B7" s="4">
        <v>45962</v>
      </c>
      <c r="C7" s="5">
        <v>23518</v>
      </c>
      <c r="D7" s="5">
        <v>21176</v>
      </c>
      <c r="E7" s="6">
        <f t="shared" ref="E7:E14" si="0">SUM(C7:D7)</f>
        <v>44694</v>
      </c>
      <c r="F7" s="7"/>
    </row>
    <row r="8" spans="1:6" x14ac:dyDescent="0.3">
      <c r="A8" s="3" t="s">
        <v>15</v>
      </c>
      <c r="B8" s="4">
        <v>45963</v>
      </c>
      <c r="C8" s="5">
        <v>48297</v>
      </c>
      <c r="D8" s="5">
        <v>21325</v>
      </c>
      <c r="E8" s="6">
        <f t="shared" si="0"/>
        <v>69622</v>
      </c>
      <c r="F8" s="17" t="s">
        <v>21</v>
      </c>
    </row>
    <row r="9" spans="1:6" x14ac:dyDescent="0.3">
      <c r="A9" s="3" t="s">
        <v>10</v>
      </c>
      <c r="B9" s="4">
        <v>45964</v>
      </c>
      <c r="C9" s="5">
        <v>23733</v>
      </c>
      <c r="D9" s="5">
        <v>23598</v>
      </c>
      <c r="E9" s="6">
        <f t="shared" si="0"/>
        <v>47331</v>
      </c>
      <c r="F9" s="7"/>
    </row>
    <row r="10" spans="1:6" x14ac:dyDescent="0.3">
      <c r="A10" s="3" t="s">
        <v>14</v>
      </c>
      <c r="B10" s="4">
        <v>45965</v>
      </c>
      <c r="C10" s="6">
        <v>22646</v>
      </c>
      <c r="D10" s="6">
        <v>22528</v>
      </c>
      <c r="E10" s="6">
        <f t="shared" si="0"/>
        <v>45174</v>
      </c>
      <c r="F10" s="17" t="s">
        <v>19</v>
      </c>
    </row>
    <row r="11" spans="1:6" x14ac:dyDescent="0.3">
      <c r="A11" s="3" t="s">
        <v>11</v>
      </c>
      <c r="B11" s="4">
        <v>45966</v>
      </c>
      <c r="C11" s="5">
        <v>23463</v>
      </c>
      <c r="D11" s="5">
        <v>23345</v>
      </c>
      <c r="E11" s="6">
        <f t="shared" si="0"/>
        <v>46808</v>
      </c>
    </row>
    <row r="12" spans="1:6" x14ac:dyDescent="0.3">
      <c r="A12" s="3" t="s">
        <v>13</v>
      </c>
      <c r="B12" s="4">
        <v>45967</v>
      </c>
      <c r="C12" s="5">
        <v>23019</v>
      </c>
      <c r="D12" s="5">
        <v>23038</v>
      </c>
      <c r="E12" s="6">
        <f t="shared" si="0"/>
        <v>46057</v>
      </c>
    </row>
    <row r="13" spans="1:6" x14ac:dyDescent="0.3">
      <c r="A13" s="3" t="s">
        <v>12</v>
      </c>
      <c r="B13" s="4">
        <v>45968</v>
      </c>
      <c r="C13" s="5">
        <v>24378</v>
      </c>
      <c r="D13" s="5">
        <v>24292</v>
      </c>
      <c r="E13" s="6">
        <f t="shared" si="0"/>
        <v>48670</v>
      </c>
      <c r="F13" s="8"/>
    </row>
    <row r="14" spans="1:6" x14ac:dyDescent="0.3">
      <c r="A14" s="3" t="s">
        <v>16</v>
      </c>
      <c r="B14" s="4">
        <v>45969</v>
      </c>
      <c r="C14" s="5">
        <v>22744</v>
      </c>
      <c r="D14" s="5">
        <v>22308</v>
      </c>
      <c r="E14" s="6">
        <f t="shared" si="0"/>
        <v>45052</v>
      </c>
      <c r="F14" s="8"/>
    </row>
    <row r="15" spans="1:6" x14ac:dyDescent="0.3">
      <c r="A15" s="3" t="s">
        <v>15</v>
      </c>
      <c r="B15" s="4">
        <v>45970</v>
      </c>
      <c r="C15" s="5">
        <v>15139</v>
      </c>
      <c r="D15" s="5">
        <v>14047</v>
      </c>
      <c r="E15" s="6">
        <f t="shared" ref="E15:E24" si="1">SUM(C15:D15)</f>
        <v>29186</v>
      </c>
      <c r="F15" s="7"/>
    </row>
    <row r="16" spans="1:6" x14ac:dyDescent="0.3">
      <c r="A16" s="3" t="s">
        <v>10</v>
      </c>
      <c r="B16" s="4">
        <v>45971</v>
      </c>
      <c r="C16" s="5">
        <v>21296</v>
      </c>
      <c r="D16" s="5">
        <v>21923</v>
      </c>
      <c r="E16" s="6">
        <f t="shared" si="1"/>
        <v>43219</v>
      </c>
      <c r="F16" s="7"/>
    </row>
    <row r="17" spans="1:6" x14ac:dyDescent="0.3">
      <c r="A17" s="3" t="s">
        <v>14</v>
      </c>
      <c r="B17" s="4">
        <v>45972</v>
      </c>
      <c r="C17" s="5">
        <v>18190</v>
      </c>
      <c r="D17" s="5">
        <v>17645</v>
      </c>
      <c r="E17" s="6">
        <f t="shared" si="1"/>
        <v>35835</v>
      </c>
      <c r="F17" s="17" t="s">
        <v>20</v>
      </c>
    </row>
    <row r="18" spans="1:6" x14ac:dyDescent="0.3">
      <c r="A18" s="3" t="s">
        <v>11</v>
      </c>
      <c r="B18" s="4">
        <v>45973</v>
      </c>
      <c r="C18" s="5">
        <v>22102</v>
      </c>
      <c r="D18" s="5">
        <v>22141</v>
      </c>
      <c r="E18" s="6">
        <f t="shared" si="1"/>
        <v>44243</v>
      </c>
    </row>
    <row r="19" spans="1:6" x14ac:dyDescent="0.3">
      <c r="A19" s="3" t="s">
        <v>13</v>
      </c>
      <c r="B19" s="4">
        <v>45974</v>
      </c>
      <c r="C19" s="5">
        <v>22744</v>
      </c>
      <c r="D19" s="5">
        <v>23003</v>
      </c>
      <c r="E19" s="6">
        <f t="shared" si="1"/>
        <v>45747</v>
      </c>
    </row>
    <row r="20" spans="1:6" x14ac:dyDescent="0.3">
      <c r="A20" s="3" t="s">
        <v>12</v>
      </c>
      <c r="B20" s="4">
        <v>45975</v>
      </c>
      <c r="C20" s="5">
        <v>23538</v>
      </c>
      <c r="D20" s="5">
        <v>23779</v>
      </c>
      <c r="E20" s="6">
        <f t="shared" si="1"/>
        <v>47317</v>
      </c>
    </row>
    <row r="21" spans="1:6" x14ac:dyDescent="0.3">
      <c r="A21" s="3" t="s">
        <v>16</v>
      </c>
      <c r="B21" s="4">
        <v>45976</v>
      </c>
      <c r="C21" s="5">
        <v>20518</v>
      </c>
      <c r="D21" s="5">
        <v>20455</v>
      </c>
      <c r="E21" s="6">
        <f t="shared" si="1"/>
        <v>40973</v>
      </c>
      <c r="F21" s="7"/>
    </row>
    <row r="22" spans="1:6" x14ac:dyDescent="0.3">
      <c r="A22" s="3" t="s">
        <v>15</v>
      </c>
      <c r="B22" s="4">
        <v>45977</v>
      </c>
      <c r="C22" s="5">
        <v>16204</v>
      </c>
      <c r="D22" s="6">
        <v>15007</v>
      </c>
      <c r="E22" s="6">
        <f t="shared" si="1"/>
        <v>31211</v>
      </c>
      <c r="F22" s="7"/>
    </row>
    <row r="23" spans="1:6" x14ac:dyDescent="0.3">
      <c r="A23" s="3" t="s">
        <v>10</v>
      </c>
      <c r="B23" s="4">
        <v>45978</v>
      </c>
      <c r="C23" s="5">
        <v>21391</v>
      </c>
      <c r="D23" s="6">
        <v>21534</v>
      </c>
      <c r="E23" s="6">
        <f t="shared" si="1"/>
        <v>42925</v>
      </c>
      <c r="F23" s="7"/>
    </row>
    <row r="24" spans="1:6" x14ac:dyDescent="0.3">
      <c r="A24" s="3" t="s">
        <v>14</v>
      </c>
      <c r="B24" s="4">
        <v>45979</v>
      </c>
      <c r="C24" s="5">
        <v>21432</v>
      </c>
      <c r="D24" s="5">
        <v>21443</v>
      </c>
      <c r="E24" s="6">
        <f t="shared" si="1"/>
        <v>42875</v>
      </c>
      <c r="F24" s="7"/>
    </row>
    <row r="25" spans="1:6" x14ac:dyDescent="0.3">
      <c r="A25" s="3" t="s">
        <v>11</v>
      </c>
      <c r="B25" s="4">
        <v>45980</v>
      </c>
      <c r="C25" s="5">
        <v>20724</v>
      </c>
      <c r="D25" s="13">
        <v>21019</v>
      </c>
      <c r="E25" s="6">
        <v>41743</v>
      </c>
      <c r="F25" s="7"/>
    </row>
    <row r="26" spans="1:6" x14ac:dyDescent="0.3">
      <c r="A26" s="3" t="s">
        <v>13</v>
      </c>
      <c r="B26" s="4">
        <v>45981</v>
      </c>
      <c r="C26" s="5">
        <v>21984</v>
      </c>
      <c r="D26" s="5">
        <v>22029</v>
      </c>
      <c r="E26" s="6">
        <v>44013</v>
      </c>
      <c r="F26" s="7"/>
    </row>
    <row r="27" spans="1:6" x14ac:dyDescent="0.3">
      <c r="A27" s="3" t="s">
        <v>12</v>
      </c>
      <c r="B27" s="4">
        <v>45982</v>
      </c>
      <c r="C27" s="5">
        <v>22655</v>
      </c>
      <c r="D27" s="5">
        <v>22602</v>
      </c>
      <c r="E27" s="6">
        <v>45257</v>
      </c>
      <c r="F27" s="7"/>
    </row>
    <row r="28" spans="1:6" x14ac:dyDescent="0.3">
      <c r="A28" s="3" t="s">
        <v>16</v>
      </c>
      <c r="B28" s="4">
        <v>45983</v>
      </c>
      <c r="C28" s="5">
        <v>18260</v>
      </c>
      <c r="D28" s="5">
        <v>18174</v>
      </c>
      <c r="E28" s="6">
        <v>36434</v>
      </c>
      <c r="F28" s="7"/>
    </row>
    <row r="29" spans="1:6" x14ac:dyDescent="0.3">
      <c r="A29" s="3" t="s">
        <v>15</v>
      </c>
      <c r="B29" s="4">
        <v>45984</v>
      </c>
      <c r="C29" s="5">
        <v>18501</v>
      </c>
      <c r="D29" s="5">
        <v>17364</v>
      </c>
      <c r="E29" s="6">
        <v>35865</v>
      </c>
      <c r="F29" s="7"/>
    </row>
    <row r="30" spans="1:6" x14ac:dyDescent="0.3">
      <c r="A30" s="3" t="s">
        <v>10</v>
      </c>
      <c r="B30" s="4">
        <v>45985</v>
      </c>
      <c r="C30" s="5">
        <v>26722</v>
      </c>
      <c r="D30" s="5">
        <v>26486</v>
      </c>
      <c r="E30" s="6">
        <v>53208</v>
      </c>
      <c r="F30" s="7"/>
    </row>
    <row r="31" spans="1:6" x14ac:dyDescent="0.3">
      <c r="A31" s="3" t="s">
        <v>14</v>
      </c>
      <c r="B31" s="4">
        <v>45986</v>
      </c>
      <c r="C31" s="5">
        <v>23702</v>
      </c>
      <c r="D31" s="5">
        <v>23234</v>
      </c>
      <c r="E31" s="6">
        <v>46936</v>
      </c>
    </row>
    <row r="32" spans="1:6" x14ac:dyDescent="0.3">
      <c r="A32" s="3" t="s">
        <v>11</v>
      </c>
      <c r="B32" s="4">
        <v>45987</v>
      </c>
      <c r="C32" s="5">
        <v>24410</v>
      </c>
      <c r="D32" s="5">
        <v>24494</v>
      </c>
      <c r="E32" s="6">
        <v>48904</v>
      </c>
    </row>
    <row r="33" spans="1:6" x14ac:dyDescent="0.3">
      <c r="A33" s="3" t="s">
        <v>13</v>
      </c>
      <c r="B33" s="4">
        <v>45988</v>
      </c>
      <c r="C33" s="5">
        <v>20952</v>
      </c>
      <c r="D33" s="5">
        <v>18745</v>
      </c>
      <c r="E33" s="6">
        <v>39697</v>
      </c>
      <c r="F33" s="17" t="s">
        <v>22</v>
      </c>
    </row>
    <row r="34" spans="1:6" x14ac:dyDescent="0.3">
      <c r="A34" s="3" t="s">
        <v>12</v>
      </c>
      <c r="B34" s="4">
        <v>45989</v>
      </c>
      <c r="C34" s="5">
        <v>22575</v>
      </c>
      <c r="D34" s="5">
        <v>23154</v>
      </c>
      <c r="E34" s="6">
        <v>45729</v>
      </c>
    </row>
    <row r="35" spans="1:6" x14ac:dyDescent="0.3">
      <c r="A35" s="3" t="s">
        <v>16</v>
      </c>
      <c r="B35" s="4">
        <v>45990</v>
      </c>
      <c r="C35" s="19">
        <v>23215</v>
      </c>
      <c r="D35" s="19">
        <v>23162</v>
      </c>
      <c r="E35" s="6">
        <v>46377</v>
      </c>
    </row>
    <row r="36" spans="1:6" x14ac:dyDescent="0.3">
      <c r="A36" s="3" t="s">
        <v>15</v>
      </c>
      <c r="B36" s="4">
        <v>45991</v>
      </c>
      <c r="C36" s="5">
        <v>12555</v>
      </c>
      <c r="D36" s="5">
        <v>11960</v>
      </c>
      <c r="E36" s="6">
        <v>24515</v>
      </c>
    </row>
    <row r="37" spans="1:6" ht="15" thickBot="1" x14ac:dyDescent="0.35">
      <c r="A37" s="36" t="s">
        <v>2</v>
      </c>
      <c r="B37" s="37"/>
      <c r="C37" s="20">
        <f>SUM(C7:C36)</f>
        <v>670607</v>
      </c>
      <c r="D37" s="20">
        <f>SUM(D7:D36)</f>
        <v>635010</v>
      </c>
      <c r="E37" s="20">
        <f>SUM(E7:E36)</f>
        <v>1305617</v>
      </c>
    </row>
    <row r="38" spans="1:6" ht="15" thickBot="1" x14ac:dyDescent="0.35">
      <c r="B38" s="21"/>
      <c r="C38" s="22"/>
      <c r="D38" s="22"/>
      <c r="E38" s="23"/>
    </row>
    <row r="39" spans="1:6" ht="13.5" customHeight="1" thickBot="1" x14ac:dyDescent="0.35">
      <c r="A39" s="27" t="s">
        <v>8</v>
      </c>
      <c r="B39" s="28"/>
      <c r="C39" s="28"/>
      <c r="D39" s="28"/>
      <c r="E39" s="24">
        <f>E37</f>
        <v>1305617</v>
      </c>
    </row>
  </sheetData>
  <mergeCells count="8">
    <mergeCell ref="A4:E4"/>
    <mergeCell ref="A39:D39"/>
    <mergeCell ref="A5:A6"/>
    <mergeCell ref="B5:B6"/>
    <mergeCell ref="C5:C6"/>
    <mergeCell ref="D5:D6"/>
    <mergeCell ref="E5:E6"/>
    <mergeCell ref="A37:B37"/>
  </mergeCells>
  <phoneticPr fontId="1" type="noConversion"/>
  <printOptions horizontalCentered="1"/>
  <pageMargins left="0.25" right="0.25" top="0.75" bottom="0.75" header="0.3" footer="0.3"/>
  <pageSetup orientation="portrait" useFirstPageNumber="1" horizontalDpi="4294967293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A634-BF51-45F0-B5B9-8354D1367245}">
  <dimension ref="A2:F52"/>
  <sheetViews>
    <sheetView topLeftCell="A5" workbookViewId="0">
      <selection activeCell="A35" sqref="A35:A36"/>
    </sheetView>
  </sheetViews>
  <sheetFormatPr defaultColWidth="9.109375" defaultRowHeight="14.4" x14ac:dyDescent="0.3"/>
  <cols>
    <col min="1" max="1" width="8.33203125" style="2" customWidth="1"/>
    <col min="2" max="2" width="11.44140625" style="2" customWidth="1"/>
    <col min="3" max="4" width="13" style="2" customWidth="1"/>
    <col min="5" max="5" width="15.44140625" style="2" customWidth="1"/>
    <col min="6" max="6" width="38.88671875" style="2" customWidth="1"/>
    <col min="7" max="16384" width="9.109375" style="1"/>
  </cols>
  <sheetData>
    <row r="2" spans="1:6" x14ac:dyDescent="0.3">
      <c r="A2" s="41" t="s">
        <v>17</v>
      </c>
      <c r="B2" s="41"/>
      <c r="C2" s="41"/>
      <c r="D2" s="41"/>
      <c r="E2" s="41"/>
    </row>
    <row r="3" spans="1:6" ht="11.25" customHeight="1" x14ac:dyDescent="0.3">
      <c r="A3" s="31" t="s">
        <v>0</v>
      </c>
      <c r="B3" s="31" t="s">
        <v>1</v>
      </c>
      <c r="C3" s="33" t="s">
        <v>3</v>
      </c>
      <c r="D3" s="31" t="s">
        <v>4</v>
      </c>
      <c r="E3" s="40" t="s">
        <v>9</v>
      </c>
    </row>
    <row r="4" spans="1:6" ht="19.5" customHeight="1" x14ac:dyDescent="0.3">
      <c r="A4" s="31"/>
      <c r="B4" s="31"/>
      <c r="C4" s="33"/>
      <c r="D4" s="31"/>
      <c r="E4" s="40"/>
    </row>
    <row r="5" spans="1:6" x14ac:dyDescent="0.3">
      <c r="A5" s="3" t="s">
        <v>10</v>
      </c>
      <c r="B5" s="4">
        <v>45964</v>
      </c>
      <c r="C5" s="5">
        <v>23733</v>
      </c>
      <c r="D5" s="5">
        <v>23598</v>
      </c>
      <c r="E5" s="6">
        <f t="shared" ref="E5:E24" si="0">SUM(C5:D5)</f>
        <v>47331</v>
      </c>
      <c r="F5" s="7"/>
    </row>
    <row r="6" spans="1:6" x14ac:dyDescent="0.3">
      <c r="A6" s="3" t="s">
        <v>14</v>
      </c>
      <c r="B6" s="4">
        <v>45965</v>
      </c>
      <c r="C6" s="5">
        <v>22646</v>
      </c>
      <c r="D6" s="5">
        <v>22528</v>
      </c>
      <c r="E6" s="6">
        <f t="shared" si="0"/>
        <v>45174</v>
      </c>
      <c r="F6" s="17" t="s">
        <v>19</v>
      </c>
    </row>
    <row r="7" spans="1:6" x14ac:dyDescent="0.3">
      <c r="A7" s="3" t="s">
        <v>11</v>
      </c>
      <c r="B7" s="4">
        <v>45966</v>
      </c>
      <c r="C7" s="5">
        <v>23463</v>
      </c>
      <c r="D7" s="5">
        <v>23345</v>
      </c>
      <c r="E7" s="6">
        <f t="shared" si="0"/>
        <v>46808</v>
      </c>
      <c r="F7" s="7"/>
    </row>
    <row r="8" spans="1:6" x14ac:dyDescent="0.3">
      <c r="A8" s="3" t="s">
        <v>13</v>
      </c>
      <c r="B8" s="4">
        <v>45967</v>
      </c>
      <c r="C8" s="5">
        <v>23019</v>
      </c>
      <c r="D8" s="5">
        <v>23038</v>
      </c>
      <c r="E8" s="6">
        <f t="shared" si="0"/>
        <v>46057</v>
      </c>
      <c r="F8" s="7"/>
    </row>
    <row r="9" spans="1:6" x14ac:dyDescent="0.3">
      <c r="A9" s="3" t="s">
        <v>12</v>
      </c>
      <c r="B9" s="4">
        <v>45968</v>
      </c>
      <c r="C9" s="5">
        <v>24378</v>
      </c>
      <c r="D9" s="5">
        <v>24292</v>
      </c>
      <c r="E9" s="6">
        <f t="shared" si="0"/>
        <v>48670</v>
      </c>
      <c r="F9" s="8"/>
    </row>
    <row r="10" spans="1:6" x14ac:dyDescent="0.3">
      <c r="A10" s="3" t="s">
        <v>10</v>
      </c>
      <c r="B10" s="4">
        <v>45971</v>
      </c>
      <c r="C10" s="5">
        <v>21296</v>
      </c>
      <c r="D10" s="5">
        <v>21923</v>
      </c>
      <c r="E10" s="6">
        <f t="shared" si="0"/>
        <v>43219</v>
      </c>
      <c r="F10" s="8"/>
    </row>
    <row r="11" spans="1:6" x14ac:dyDescent="0.3">
      <c r="A11" s="3" t="s">
        <v>14</v>
      </c>
      <c r="B11" s="4">
        <v>45972</v>
      </c>
      <c r="C11" s="5">
        <v>18190</v>
      </c>
      <c r="D11" s="5">
        <v>17645</v>
      </c>
      <c r="E11" s="6">
        <f t="shared" si="0"/>
        <v>35835</v>
      </c>
      <c r="F11" s="16" t="s">
        <v>20</v>
      </c>
    </row>
    <row r="12" spans="1:6" x14ac:dyDescent="0.3">
      <c r="A12" s="3" t="s">
        <v>11</v>
      </c>
      <c r="B12" s="4">
        <v>45973</v>
      </c>
      <c r="C12" s="5">
        <v>22102</v>
      </c>
      <c r="D12" s="5">
        <v>22141</v>
      </c>
      <c r="E12" s="6">
        <f t="shared" si="0"/>
        <v>44243</v>
      </c>
    </row>
    <row r="13" spans="1:6" x14ac:dyDescent="0.3">
      <c r="A13" s="3" t="s">
        <v>13</v>
      </c>
      <c r="B13" s="4">
        <v>45974</v>
      </c>
      <c r="C13" s="5">
        <v>22744</v>
      </c>
      <c r="D13" s="5">
        <v>23003</v>
      </c>
      <c r="E13" s="6">
        <f t="shared" si="0"/>
        <v>45747</v>
      </c>
    </row>
    <row r="14" spans="1:6" x14ac:dyDescent="0.3">
      <c r="A14" s="3" t="s">
        <v>12</v>
      </c>
      <c r="B14" s="4">
        <v>45975</v>
      </c>
      <c r="C14" s="5">
        <v>23538</v>
      </c>
      <c r="D14" s="5">
        <v>23779</v>
      </c>
      <c r="E14" s="6">
        <f t="shared" si="0"/>
        <v>47317</v>
      </c>
    </row>
    <row r="15" spans="1:6" x14ac:dyDescent="0.3">
      <c r="A15" s="3" t="s">
        <v>10</v>
      </c>
      <c r="B15" s="4">
        <v>45978</v>
      </c>
      <c r="C15" s="5">
        <v>21391</v>
      </c>
      <c r="D15" s="5">
        <v>21534</v>
      </c>
      <c r="E15" s="6">
        <f t="shared" si="0"/>
        <v>42925</v>
      </c>
      <c r="F15" s="7"/>
    </row>
    <row r="16" spans="1:6" x14ac:dyDescent="0.3">
      <c r="A16" s="3" t="s">
        <v>14</v>
      </c>
      <c r="B16" s="4">
        <v>45979</v>
      </c>
      <c r="C16" s="5">
        <v>21432</v>
      </c>
      <c r="D16" s="5">
        <v>21443</v>
      </c>
      <c r="E16" s="6">
        <f t="shared" si="0"/>
        <v>42875</v>
      </c>
    </row>
    <row r="17" spans="1:6" x14ac:dyDescent="0.3">
      <c r="A17" s="3" t="s">
        <v>11</v>
      </c>
      <c r="B17" s="4">
        <v>45980</v>
      </c>
      <c r="C17" s="5">
        <v>20724</v>
      </c>
      <c r="D17" s="5">
        <v>21019</v>
      </c>
      <c r="E17" s="6">
        <f>SUM(C17:D17)</f>
        <v>41743</v>
      </c>
      <c r="F17" s="7"/>
    </row>
    <row r="18" spans="1:6" x14ac:dyDescent="0.3">
      <c r="A18" s="3" t="s">
        <v>13</v>
      </c>
      <c r="B18" s="4">
        <v>45981</v>
      </c>
      <c r="C18" s="5">
        <v>21984</v>
      </c>
      <c r="D18" s="5">
        <v>22029</v>
      </c>
      <c r="E18" s="6">
        <f t="shared" si="0"/>
        <v>44013</v>
      </c>
      <c r="F18" s="7"/>
    </row>
    <row r="19" spans="1:6" x14ac:dyDescent="0.3">
      <c r="A19" s="3" t="s">
        <v>12</v>
      </c>
      <c r="B19" s="4">
        <v>45982</v>
      </c>
      <c r="C19" s="5">
        <v>22655</v>
      </c>
      <c r="D19" s="5">
        <v>22602</v>
      </c>
      <c r="E19" s="6">
        <f t="shared" si="0"/>
        <v>45257</v>
      </c>
    </row>
    <row r="20" spans="1:6" x14ac:dyDescent="0.3">
      <c r="A20" s="3" t="s">
        <v>10</v>
      </c>
      <c r="B20" s="4">
        <v>45985</v>
      </c>
      <c r="C20" s="5">
        <v>26722</v>
      </c>
      <c r="D20" s="5">
        <v>26486</v>
      </c>
      <c r="E20" s="6">
        <f t="shared" si="0"/>
        <v>53208</v>
      </c>
      <c r="F20" s="7"/>
    </row>
    <row r="21" spans="1:6" x14ac:dyDescent="0.3">
      <c r="A21" s="3" t="s">
        <v>14</v>
      </c>
      <c r="B21" s="4">
        <v>45986</v>
      </c>
      <c r="C21" s="5">
        <v>23702</v>
      </c>
      <c r="D21" s="5">
        <v>23234</v>
      </c>
      <c r="E21" s="6">
        <f t="shared" si="0"/>
        <v>46936</v>
      </c>
      <c r="F21" s="7"/>
    </row>
    <row r="22" spans="1:6" x14ac:dyDescent="0.3">
      <c r="A22" s="3" t="s">
        <v>11</v>
      </c>
      <c r="B22" s="4">
        <v>45987</v>
      </c>
      <c r="C22" s="5">
        <v>24410</v>
      </c>
      <c r="D22" s="5">
        <v>24494</v>
      </c>
      <c r="E22" s="6">
        <f t="shared" si="0"/>
        <v>48904</v>
      </c>
      <c r="F22" s="7"/>
    </row>
    <row r="23" spans="1:6" x14ac:dyDescent="0.3">
      <c r="A23" s="3" t="s">
        <v>13</v>
      </c>
      <c r="B23" s="4">
        <v>45988</v>
      </c>
      <c r="C23" s="5">
        <v>20952</v>
      </c>
      <c r="D23" s="5">
        <v>18745</v>
      </c>
      <c r="E23" s="6">
        <f t="shared" si="0"/>
        <v>39697</v>
      </c>
      <c r="F23" s="16" t="s">
        <v>22</v>
      </c>
    </row>
    <row r="24" spans="1:6" x14ac:dyDescent="0.3">
      <c r="A24" s="3" t="s">
        <v>12</v>
      </c>
      <c r="B24" s="4">
        <v>45989</v>
      </c>
      <c r="C24" s="5">
        <v>22575</v>
      </c>
      <c r="D24" s="5">
        <v>23154</v>
      </c>
      <c r="E24" s="6">
        <f t="shared" si="0"/>
        <v>45729</v>
      </c>
    </row>
    <row r="25" spans="1:6" x14ac:dyDescent="0.3">
      <c r="A25" s="38" t="s">
        <v>2</v>
      </c>
      <c r="B25" s="38"/>
      <c r="C25" s="9">
        <f>SUM(C5:C24)</f>
        <v>451656</v>
      </c>
      <c r="D25" s="9">
        <f>SUM(D5:D24)</f>
        <v>450032</v>
      </c>
      <c r="E25" s="9">
        <f>SUM(E5:E24)</f>
        <v>901688</v>
      </c>
    </row>
    <row r="26" spans="1:6" x14ac:dyDescent="0.3">
      <c r="C26" s="10"/>
      <c r="D26" s="10"/>
      <c r="E26" s="10"/>
    </row>
    <row r="27" spans="1:6" x14ac:dyDescent="0.3">
      <c r="A27" s="39" t="s">
        <v>24</v>
      </c>
      <c r="B27" s="39"/>
      <c r="C27" s="39"/>
      <c r="D27" s="39"/>
      <c r="E27" s="11">
        <f>E25</f>
        <v>901688</v>
      </c>
    </row>
    <row r="28" spans="1:6" x14ac:dyDescent="0.3">
      <c r="A28" s="39" t="s">
        <v>7</v>
      </c>
      <c r="B28" s="39"/>
      <c r="C28" s="39"/>
      <c r="D28" s="39"/>
      <c r="E28" s="11">
        <f>AVERAGE(E5:E24)</f>
        <v>45084.4</v>
      </c>
    </row>
    <row r="29" spans="1:6" x14ac:dyDescent="0.3">
      <c r="A29" s="42"/>
      <c r="B29" s="42"/>
      <c r="C29" s="42"/>
      <c r="D29" s="42"/>
      <c r="E29" s="43"/>
    </row>
    <row r="30" spans="1:6" x14ac:dyDescent="0.3">
      <c r="A30" s="42"/>
      <c r="B30" s="42"/>
      <c r="C30" s="42"/>
      <c r="D30" s="42"/>
      <c r="E30" s="43"/>
    </row>
    <row r="31" spans="1:6" x14ac:dyDescent="0.3">
      <c r="A31" s="42"/>
      <c r="B31" s="42"/>
      <c r="C31" s="42"/>
      <c r="D31" s="42"/>
      <c r="E31" s="43"/>
    </row>
    <row r="32" spans="1:6" x14ac:dyDescent="0.3">
      <c r="A32" s="42"/>
      <c r="B32" s="42"/>
      <c r="C32" s="42"/>
      <c r="D32" s="42"/>
      <c r="E32" s="43"/>
    </row>
    <row r="34" spans="1:6" x14ac:dyDescent="0.3">
      <c r="A34" s="41" t="s">
        <v>18</v>
      </c>
      <c r="B34" s="41"/>
      <c r="C34" s="41"/>
      <c r="D34" s="41"/>
      <c r="E34" s="41"/>
    </row>
    <row r="35" spans="1:6" x14ac:dyDescent="0.3">
      <c r="A35" s="31" t="s">
        <v>0</v>
      </c>
      <c r="B35" s="31" t="s">
        <v>1</v>
      </c>
      <c r="C35" s="33" t="s">
        <v>3</v>
      </c>
      <c r="D35" s="33" t="s">
        <v>4</v>
      </c>
      <c r="E35" s="40" t="s">
        <v>9</v>
      </c>
    </row>
    <row r="36" spans="1:6" ht="21" customHeight="1" x14ac:dyDescent="0.3">
      <c r="A36" s="31"/>
      <c r="B36" s="31"/>
      <c r="C36" s="33"/>
      <c r="D36" s="33"/>
      <c r="E36" s="40"/>
    </row>
    <row r="37" spans="1:6" x14ac:dyDescent="0.3">
      <c r="A37" s="3" t="s">
        <v>16</v>
      </c>
      <c r="B37" s="12">
        <v>45962</v>
      </c>
      <c r="C37" s="5">
        <v>23518</v>
      </c>
      <c r="D37" s="5">
        <v>21176</v>
      </c>
      <c r="E37" s="6">
        <f t="shared" ref="E37:E46" si="1">SUM(C37:D37)</f>
        <v>44694</v>
      </c>
    </row>
    <row r="38" spans="1:6" x14ac:dyDescent="0.3">
      <c r="A38" s="3" t="s">
        <v>15</v>
      </c>
      <c r="B38" s="12">
        <v>45963</v>
      </c>
      <c r="C38" s="5">
        <v>48297</v>
      </c>
      <c r="D38" s="5">
        <v>21325</v>
      </c>
      <c r="E38" s="6">
        <f t="shared" si="1"/>
        <v>69622</v>
      </c>
      <c r="F38" s="17" t="s">
        <v>21</v>
      </c>
    </row>
    <row r="39" spans="1:6" x14ac:dyDescent="0.3">
      <c r="A39" s="3" t="s">
        <v>16</v>
      </c>
      <c r="B39" s="12">
        <v>45969</v>
      </c>
      <c r="C39" s="5">
        <v>22744</v>
      </c>
      <c r="D39" s="13">
        <v>22308</v>
      </c>
      <c r="E39" s="6">
        <f t="shared" si="1"/>
        <v>45052</v>
      </c>
      <c r="F39" s="7"/>
    </row>
    <row r="40" spans="1:6" x14ac:dyDescent="0.3">
      <c r="A40" s="3" t="s">
        <v>15</v>
      </c>
      <c r="B40" s="12">
        <v>45970</v>
      </c>
      <c r="C40" s="5">
        <v>15139</v>
      </c>
      <c r="D40" s="13">
        <v>14047</v>
      </c>
      <c r="E40" s="6">
        <f t="shared" si="1"/>
        <v>29186</v>
      </c>
    </row>
    <row r="41" spans="1:6" x14ac:dyDescent="0.3">
      <c r="A41" s="3" t="s">
        <v>16</v>
      </c>
      <c r="B41" s="12">
        <v>45976</v>
      </c>
      <c r="C41" s="5">
        <v>20518</v>
      </c>
      <c r="D41" s="5">
        <v>20455</v>
      </c>
      <c r="E41" s="6">
        <f t="shared" si="1"/>
        <v>40973</v>
      </c>
    </row>
    <row r="42" spans="1:6" x14ac:dyDescent="0.3">
      <c r="A42" s="3" t="s">
        <v>15</v>
      </c>
      <c r="B42" s="12">
        <v>45977</v>
      </c>
      <c r="C42" s="5">
        <v>16204</v>
      </c>
      <c r="D42" s="5">
        <v>15007</v>
      </c>
      <c r="E42" s="6">
        <f t="shared" si="1"/>
        <v>31211</v>
      </c>
    </row>
    <row r="43" spans="1:6" x14ac:dyDescent="0.3">
      <c r="A43" s="3" t="s">
        <v>16</v>
      </c>
      <c r="B43" s="12">
        <v>45983</v>
      </c>
      <c r="C43" s="5">
        <v>18260</v>
      </c>
      <c r="D43" s="5">
        <v>18174</v>
      </c>
      <c r="E43" s="6">
        <f t="shared" si="1"/>
        <v>36434</v>
      </c>
    </row>
    <row r="44" spans="1:6" x14ac:dyDescent="0.3">
      <c r="A44" s="3" t="s">
        <v>15</v>
      </c>
      <c r="B44" s="12">
        <v>45984</v>
      </c>
      <c r="C44" s="5">
        <v>18501</v>
      </c>
      <c r="D44" s="5">
        <v>17364</v>
      </c>
      <c r="E44" s="6">
        <f>SUM(C44:D44)</f>
        <v>35865</v>
      </c>
    </row>
    <row r="45" spans="1:6" x14ac:dyDescent="0.3">
      <c r="A45" s="3" t="s">
        <v>16</v>
      </c>
      <c r="B45" s="12">
        <v>45990</v>
      </c>
      <c r="C45" s="5">
        <v>23215</v>
      </c>
      <c r="D45" s="5">
        <v>23162</v>
      </c>
      <c r="E45" s="6">
        <f t="shared" si="1"/>
        <v>46377</v>
      </c>
    </row>
    <row r="46" spans="1:6" x14ac:dyDescent="0.3">
      <c r="A46" s="3" t="s">
        <v>15</v>
      </c>
      <c r="B46" s="12">
        <v>45991</v>
      </c>
      <c r="C46" s="5">
        <v>12555</v>
      </c>
      <c r="D46" s="5">
        <v>11960</v>
      </c>
      <c r="E46" s="6">
        <f t="shared" si="1"/>
        <v>24515</v>
      </c>
    </row>
    <row r="47" spans="1:6" x14ac:dyDescent="0.3">
      <c r="A47" s="38" t="s">
        <v>2</v>
      </c>
      <c r="B47" s="38"/>
      <c r="C47" s="9">
        <f>SUM(C37:C46)</f>
        <v>218951</v>
      </c>
      <c r="D47" s="9">
        <f>SUM(D37:D46)</f>
        <v>184978</v>
      </c>
      <c r="E47" s="9">
        <f>SUM(E37:E46)</f>
        <v>403929</v>
      </c>
    </row>
    <row r="48" spans="1:6" x14ac:dyDescent="0.3">
      <c r="C48" s="10"/>
      <c r="D48" s="10"/>
      <c r="E48" s="10"/>
    </row>
    <row r="49" spans="1:5" ht="16.5" customHeight="1" x14ac:dyDescent="0.3">
      <c r="A49" s="39" t="s">
        <v>23</v>
      </c>
      <c r="B49" s="39"/>
      <c r="C49" s="39"/>
      <c r="D49" s="39"/>
      <c r="E49" s="14">
        <f>E47</f>
        <v>403929</v>
      </c>
    </row>
    <row r="50" spans="1:5" x14ac:dyDescent="0.3">
      <c r="A50" s="15"/>
      <c r="B50" s="15"/>
      <c r="C50" s="15"/>
      <c r="D50" s="15"/>
      <c r="E50" s="15"/>
    </row>
    <row r="51" spans="1:5" ht="14.25" customHeight="1" x14ac:dyDescent="0.3">
      <c r="A51" s="39" t="s">
        <v>5</v>
      </c>
      <c r="B51" s="39"/>
      <c r="C51" s="39"/>
      <c r="D51" s="39"/>
      <c r="E51" s="14">
        <f xml:space="preserve"> AVERAGE(E37,E39,E41,E43)</f>
        <v>41788.25</v>
      </c>
    </row>
    <row r="52" spans="1:5" x14ac:dyDescent="0.3">
      <c r="A52" s="39" t="s">
        <v>6</v>
      </c>
      <c r="B52" s="39"/>
      <c r="C52" s="39"/>
      <c r="D52" s="39"/>
      <c r="E52" s="14">
        <f xml:space="preserve"> AVERAGE(E38,E40,E42,E46)</f>
        <v>38633.5</v>
      </c>
    </row>
  </sheetData>
  <mergeCells count="19">
    <mergeCell ref="A25:B25"/>
    <mergeCell ref="A27:D27"/>
    <mergeCell ref="A28:D28"/>
    <mergeCell ref="A34:E34"/>
    <mergeCell ref="A2:E2"/>
    <mergeCell ref="A3:A4"/>
    <mergeCell ref="B3:B4"/>
    <mergeCell ref="C3:C4"/>
    <mergeCell ref="D3:D4"/>
    <mergeCell ref="E3:E4"/>
    <mergeCell ref="A47:B47"/>
    <mergeCell ref="A49:D49"/>
    <mergeCell ref="E35:E36"/>
    <mergeCell ref="A51:D51"/>
    <mergeCell ref="A52:D52"/>
    <mergeCell ref="A35:A36"/>
    <mergeCell ref="B35:B36"/>
    <mergeCell ref="C35:C36"/>
    <mergeCell ref="D35:D36"/>
  </mergeCells>
  <phoneticPr fontId="3" type="noConversion"/>
  <printOptions horizontalCentered="1"/>
  <pageMargins left="0.75" right="0.75" top="1" bottom="1" header="0.5" footer="0.5"/>
  <pageSetup orientation="portrait" r:id="rId1"/>
  <headerFooter alignWithMargins="0">
    <oddFooter>Page &amp;P of &amp;N</oddFooter>
  </headerFooter>
  <ignoredErrors>
    <ignoredError sqref="E3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af822a54c1f8d7b87be89a75b879cc0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68e6e55813a7a305b3663f8b5989f314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78D0BC-CAA6-4287-86C9-77DBF854B1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16630C-CCA1-4973-8098-81642EC3404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8BEBE03-8DAB-4CC8-BCEF-E06FB0A4EC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tabbott</dc:creator>
  <cp:lastModifiedBy>Lucy Santana</cp:lastModifiedBy>
  <cp:lastPrinted>2013-06-05T11:40:15Z</cp:lastPrinted>
  <dcterms:created xsi:type="dcterms:W3CDTF">2006-12-14T13:28:56Z</dcterms:created>
  <dcterms:modified xsi:type="dcterms:W3CDTF">2026-04-09T23:49:04Z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