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SIFMonthlyRidership_2017_to_2025/"/>
    </mc:Choice>
  </mc:AlternateContent>
  <xr:revisionPtr revIDLastSave="1" documentId="8_{C52B53B9-7001-4887-9DD5-993640659EAB}" xr6:coauthVersionLast="47" xr6:coauthVersionMax="47" xr10:uidLastSave="{06E54EA2-8DD6-44E9-B857-23F34D9551A1}"/>
  <bookViews>
    <workbookView xWindow="-108" yWindow="-108" windowWidth="23256" windowHeight="13896" xr2:uid="{00000000-000D-0000-FFFF-FFFF00000000}"/>
  </bookViews>
  <sheets>
    <sheet name="TOTALS" sheetId="1" r:id="rId1"/>
    <sheet name="WEEKDAY-WEEK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2" l="1"/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6" i="1"/>
  <c r="D37" i="1"/>
  <c r="C37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6" i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4" i="2"/>
  <c r="E28" i="2" s="1"/>
  <c r="D25" i="2"/>
  <c r="C25" i="2"/>
  <c r="E37" i="2"/>
  <c r="E38" i="2"/>
  <c r="E39" i="2"/>
  <c r="E40" i="2"/>
  <c r="E41" i="2"/>
  <c r="E42" i="2"/>
  <c r="E43" i="2"/>
  <c r="E44" i="2"/>
  <c r="E45" i="2"/>
  <c r="E49" i="2" s="1"/>
  <c r="E36" i="2"/>
  <c r="D46" i="2"/>
  <c r="C46" i="2"/>
  <c r="A45" i="2"/>
  <c r="A44" i="2"/>
  <c r="A24" i="2"/>
  <c r="A23" i="2"/>
  <c r="A22" i="2"/>
  <c r="A21" i="2"/>
  <c r="A20" i="2"/>
  <c r="A43" i="2"/>
  <c r="A42" i="2"/>
  <c r="A19" i="2"/>
  <c r="A18" i="2"/>
  <c r="A17" i="2"/>
  <c r="A16" i="2"/>
  <c r="A15" i="2"/>
  <c r="A41" i="2"/>
  <c r="A40" i="2"/>
  <c r="A14" i="2"/>
  <c r="A13" i="2"/>
  <c r="A12" i="2"/>
  <c r="A11" i="2"/>
  <c r="A10" i="2"/>
  <c r="A39" i="2"/>
  <c r="A38" i="2"/>
  <c r="A9" i="2"/>
  <c r="A8" i="2"/>
  <c r="A7" i="2"/>
  <c r="A6" i="2"/>
  <c r="A5" i="2"/>
  <c r="A37" i="2"/>
  <c r="A36" i="2"/>
  <c r="A4" i="2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6" i="1"/>
  <c r="E48" i="2" l="1"/>
  <c r="E46" i="2"/>
  <c r="E37" i="1"/>
  <c r="E41" i="1" s="1"/>
  <c r="E25" i="2"/>
  <c r="E27" i="2" s="1"/>
</calcChain>
</file>

<file path=xl/sharedStrings.xml><?xml version="1.0" encoding="utf-8"?>
<sst xmlns="http://schemas.openxmlformats.org/spreadsheetml/2006/main" count="26" uniqueCount="15">
  <si>
    <t>WHT</t>
  </si>
  <si>
    <t>STG</t>
  </si>
  <si>
    <t>DAY</t>
  </si>
  <si>
    <t>DATE</t>
  </si>
  <si>
    <t>COMBINED TOTAL</t>
  </si>
  <si>
    <t>MAY 2020 WEEKDAY TOTALS</t>
  </si>
  <si>
    <t>MAY 2020 WEEKEND TOTALS</t>
  </si>
  <si>
    <t>TOTALS:</t>
  </si>
  <si>
    <t>TOTAL RIDERSHIP</t>
  </si>
  <si>
    <t>TOTALS</t>
  </si>
  <si>
    <t>Average Saturday Passengers</t>
  </si>
  <si>
    <t>Average Sunday Passengers</t>
  </si>
  <si>
    <t>Total Weekday Pax Count May 2020</t>
  </si>
  <si>
    <t>Average Passengers/Weekday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</si>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</sst>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4" borderId="5" xfId="0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17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41"/>
  <sheetViews>
    <sheetView tabSelected="1" workbookViewId="0">
      <selection activeCell="A5" sqref="A5"/>
    </sheetView>
  </sheetViews>
  <sheetFormatPr defaultColWidth="12.6640625" defaultRowHeight="13.8" x14ac:dyDescent="0.25"/>
  <cols>
    <col min="1" max="5" width="12.6640625" style="1"/>
    <col min="6" max="6" width="0" style="1" hidden="1" customWidth="1"/>
    <col min="7" max="16384" width="12.6640625" style="1"/>
  </cols>
  <sheetData>
    <row r="4" spans="1:6" x14ac:dyDescent="0.25">
      <c r="A4" s="19">
        <v>43952</v>
      </c>
      <c r="B4" s="20"/>
      <c r="C4" s="20"/>
      <c r="D4" s="20"/>
      <c r="E4" s="20"/>
    </row>
    <row r="5" spans="1:6" ht="27.6" x14ac:dyDescent="0.25">
      <c r="A5" s="4" t="s">
        <v>2</v>
      </c>
      <c r="B5" s="4" t="s">
        <v>3</v>
      </c>
      <c r="C5" s="4" t="s">
        <v>0</v>
      </c>
      <c r="D5" s="4" t="s">
        <v>1</v>
      </c>
      <c r="E5" s="5" t="s">
        <v>4</v>
      </c>
      <c r="F5" s="1" t="s">
        <v>14</v>
      </c>
    </row>
    <row r="6" spans="1:6" x14ac:dyDescent="0.25">
      <c r="A6" s="6" t="str">
        <f>CHOOSE(WEEKDAY(B6),"SUN","MON","TUE","WED","THU","FRI","SAT")</f>
        <v>FRI</v>
      </c>
      <c r="B6" s="3">
        <v>43952</v>
      </c>
      <c r="C6" s="2">
        <v>4036</v>
      </c>
      <c r="D6" s="2">
        <v>4015</v>
      </c>
      <c r="E6" s="2">
        <f>SUM(C6:D6)</f>
        <v>8051</v>
      </c>
      <c r="F6" s="1">
        <f>C6-D6</f>
        <v>21</v>
      </c>
    </row>
    <row r="7" spans="1:6" x14ac:dyDescent="0.25">
      <c r="A7" s="6" t="str">
        <f t="shared" ref="A7:A36" si="0">CHOOSE(WEEKDAY(B7),"SUN","MON","TUE","WED","THU","FRI","SAT")</f>
        <v>SAT</v>
      </c>
      <c r="B7" s="3">
        <v>43953</v>
      </c>
      <c r="C7" s="2">
        <v>3641</v>
      </c>
      <c r="D7" s="2">
        <v>3292</v>
      </c>
      <c r="E7" s="2">
        <f t="shared" ref="E7:E37" si="1">SUM(C7:D7)</f>
        <v>6933</v>
      </c>
      <c r="F7" s="1">
        <f t="shared" ref="F7:F36" si="2">C7-D7</f>
        <v>349</v>
      </c>
    </row>
    <row r="8" spans="1:6" x14ac:dyDescent="0.25">
      <c r="A8" s="6" t="str">
        <f t="shared" si="0"/>
        <v>SUN</v>
      </c>
      <c r="B8" s="3">
        <v>43954</v>
      </c>
      <c r="C8" s="2">
        <v>3144</v>
      </c>
      <c r="D8" s="2">
        <v>2765</v>
      </c>
      <c r="E8" s="2">
        <f t="shared" si="1"/>
        <v>5909</v>
      </c>
      <c r="F8" s="1">
        <f t="shared" si="2"/>
        <v>379</v>
      </c>
    </row>
    <row r="9" spans="1:6" x14ac:dyDescent="0.25">
      <c r="A9" s="6" t="str">
        <f t="shared" si="0"/>
        <v>MON</v>
      </c>
      <c r="B9" s="3">
        <v>43955</v>
      </c>
      <c r="C9" s="2">
        <v>4491</v>
      </c>
      <c r="D9" s="2">
        <v>4387</v>
      </c>
      <c r="E9" s="2">
        <f t="shared" si="1"/>
        <v>8878</v>
      </c>
      <c r="F9" s="1">
        <f t="shared" si="2"/>
        <v>104</v>
      </c>
    </row>
    <row r="10" spans="1:6" x14ac:dyDescent="0.25">
      <c r="A10" s="6" t="str">
        <f t="shared" si="0"/>
        <v>TUE</v>
      </c>
      <c r="B10" s="3">
        <v>43956</v>
      </c>
      <c r="C10" s="2">
        <v>4417</v>
      </c>
      <c r="D10" s="2">
        <v>4241</v>
      </c>
      <c r="E10" s="2">
        <f t="shared" si="1"/>
        <v>8658</v>
      </c>
      <c r="F10" s="1">
        <f t="shared" si="2"/>
        <v>176</v>
      </c>
    </row>
    <row r="11" spans="1:6" x14ac:dyDescent="0.25">
      <c r="A11" s="6" t="str">
        <f t="shared" si="0"/>
        <v>WED</v>
      </c>
      <c r="B11" s="3">
        <v>43957</v>
      </c>
      <c r="C11" s="2">
        <v>4268</v>
      </c>
      <c r="D11" s="2">
        <v>4029</v>
      </c>
      <c r="E11" s="2">
        <f t="shared" si="1"/>
        <v>8297</v>
      </c>
      <c r="F11" s="1">
        <f t="shared" si="2"/>
        <v>239</v>
      </c>
    </row>
    <row r="12" spans="1:6" x14ac:dyDescent="0.25">
      <c r="A12" s="6" t="str">
        <f t="shared" si="0"/>
        <v>THU</v>
      </c>
      <c r="B12" s="3">
        <v>43958</v>
      </c>
      <c r="C12" s="2">
        <v>4708</v>
      </c>
      <c r="D12" s="2">
        <v>4534</v>
      </c>
      <c r="E12" s="2">
        <f t="shared" si="1"/>
        <v>9242</v>
      </c>
      <c r="F12" s="1">
        <f t="shared" si="2"/>
        <v>174</v>
      </c>
    </row>
    <row r="13" spans="1:6" x14ac:dyDescent="0.25">
      <c r="A13" s="6" t="str">
        <f t="shared" si="0"/>
        <v>FRI</v>
      </c>
      <c r="B13" s="3">
        <v>43959</v>
      </c>
      <c r="C13" s="2">
        <v>4456</v>
      </c>
      <c r="D13" s="2">
        <v>4192</v>
      </c>
      <c r="E13" s="2">
        <f t="shared" si="1"/>
        <v>8648</v>
      </c>
      <c r="F13" s="1">
        <f t="shared" si="2"/>
        <v>264</v>
      </c>
    </row>
    <row r="14" spans="1:6" x14ac:dyDescent="0.25">
      <c r="A14" s="6" t="str">
        <f t="shared" si="0"/>
        <v>SAT</v>
      </c>
      <c r="B14" s="3">
        <v>43960</v>
      </c>
      <c r="C14" s="2">
        <v>3164</v>
      </c>
      <c r="D14" s="2">
        <v>3055</v>
      </c>
      <c r="E14" s="2">
        <f t="shared" si="1"/>
        <v>6219</v>
      </c>
      <c r="F14" s="1">
        <f t="shared" si="2"/>
        <v>109</v>
      </c>
    </row>
    <row r="15" spans="1:6" x14ac:dyDescent="0.25">
      <c r="A15" s="6" t="str">
        <f t="shared" si="0"/>
        <v>SUN</v>
      </c>
      <c r="B15" s="3">
        <v>43961</v>
      </c>
      <c r="C15" s="2">
        <v>3443</v>
      </c>
      <c r="D15" s="2">
        <v>3118</v>
      </c>
      <c r="E15" s="2">
        <f t="shared" si="1"/>
        <v>6561</v>
      </c>
      <c r="F15" s="1">
        <f t="shared" si="2"/>
        <v>325</v>
      </c>
    </row>
    <row r="16" spans="1:6" x14ac:dyDescent="0.25">
      <c r="A16" s="6" t="str">
        <f t="shared" si="0"/>
        <v>MON</v>
      </c>
      <c r="B16" s="3">
        <v>43962</v>
      </c>
      <c r="C16" s="2">
        <v>4387</v>
      </c>
      <c r="D16" s="2">
        <v>4289</v>
      </c>
      <c r="E16" s="2">
        <f t="shared" si="1"/>
        <v>8676</v>
      </c>
      <c r="F16" s="1">
        <f t="shared" si="2"/>
        <v>98</v>
      </c>
    </row>
    <row r="17" spans="1:6" x14ac:dyDescent="0.25">
      <c r="A17" s="6" t="str">
        <f t="shared" si="0"/>
        <v>TUE</v>
      </c>
      <c r="B17" s="3">
        <v>43963</v>
      </c>
      <c r="C17" s="2">
        <v>4467</v>
      </c>
      <c r="D17" s="2">
        <v>4440</v>
      </c>
      <c r="E17" s="2">
        <f t="shared" si="1"/>
        <v>8907</v>
      </c>
      <c r="F17" s="1">
        <f t="shared" si="2"/>
        <v>27</v>
      </c>
    </row>
    <row r="18" spans="1:6" x14ac:dyDescent="0.25">
      <c r="A18" s="6" t="str">
        <f t="shared" si="0"/>
        <v>WED</v>
      </c>
      <c r="B18" s="3">
        <v>43964</v>
      </c>
      <c r="C18" s="2">
        <v>4416</v>
      </c>
      <c r="D18" s="2">
        <v>4607</v>
      </c>
      <c r="E18" s="2">
        <f t="shared" si="1"/>
        <v>9023</v>
      </c>
      <c r="F18" s="1">
        <f t="shared" si="2"/>
        <v>-191</v>
      </c>
    </row>
    <row r="19" spans="1:6" x14ac:dyDescent="0.25">
      <c r="A19" s="6" t="str">
        <f t="shared" si="0"/>
        <v>THU</v>
      </c>
      <c r="B19" s="3">
        <v>43965</v>
      </c>
      <c r="C19" s="2">
        <v>4527</v>
      </c>
      <c r="D19" s="2">
        <v>4587</v>
      </c>
      <c r="E19" s="2">
        <f t="shared" si="1"/>
        <v>9114</v>
      </c>
      <c r="F19" s="1">
        <f t="shared" si="2"/>
        <v>-60</v>
      </c>
    </row>
    <row r="20" spans="1:6" x14ac:dyDescent="0.25">
      <c r="A20" s="6" t="str">
        <f t="shared" si="0"/>
        <v>FRI</v>
      </c>
      <c r="B20" s="3">
        <v>43966</v>
      </c>
      <c r="C20" s="2">
        <v>4777</v>
      </c>
      <c r="D20" s="2">
        <v>4884</v>
      </c>
      <c r="E20" s="2">
        <f t="shared" si="1"/>
        <v>9661</v>
      </c>
      <c r="F20" s="1">
        <f t="shared" si="2"/>
        <v>-107</v>
      </c>
    </row>
    <row r="21" spans="1:6" x14ac:dyDescent="0.25">
      <c r="A21" s="6" t="str">
        <f t="shared" si="0"/>
        <v>SAT</v>
      </c>
      <c r="B21" s="3">
        <v>43967</v>
      </c>
      <c r="C21" s="2">
        <v>4132</v>
      </c>
      <c r="D21" s="2">
        <v>3872</v>
      </c>
      <c r="E21" s="2">
        <f t="shared" si="1"/>
        <v>8004</v>
      </c>
      <c r="F21" s="1">
        <f t="shared" si="2"/>
        <v>260</v>
      </c>
    </row>
    <row r="22" spans="1:6" x14ac:dyDescent="0.25">
      <c r="A22" s="6" t="str">
        <f t="shared" si="0"/>
        <v>SUN</v>
      </c>
      <c r="B22" s="3">
        <v>43968</v>
      </c>
      <c r="C22" s="2">
        <v>3374</v>
      </c>
      <c r="D22" s="2">
        <v>3068</v>
      </c>
      <c r="E22" s="2">
        <f t="shared" si="1"/>
        <v>6442</v>
      </c>
      <c r="F22" s="1">
        <f t="shared" si="2"/>
        <v>306</v>
      </c>
    </row>
    <row r="23" spans="1:6" x14ac:dyDescent="0.25">
      <c r="A23" s="6" t="str">
        <f t="shared" si="0"/>
        <v>MON</v>
      </c>
      <c r="B23" s="3">
        <v>43969</v>
      </c>
      <c r="C23" s="2">
        <v>4932</v>
      </c>
      <c r="D23" s="2">
        <v>4792</v>
      </c>
      <c r="E23" s="2">
        <f t="shared" si="1"/>
        <v>9724</v>
      </c>
      <c r="F23" s="1">
        <f t="shared" si="2"/>
        <v>140</v>
      </c>
    </row>
    <row r="24" spans="1:6" x14ac:dyDescent="0.25">
      <c r="A24" s="6" t="str">
        <f t="shared" si="0"/>
        <v>TUE</v>
      </c>
      <c r="B24" s="3">
        <v>43970</v>
      </c>
      <c r="C24" s="2">
        <v>5102</v>
      </c>
      <c r="D24" s="2">
        <v>4836</v>
      </c>
      <c r="E24" s="2">
        <f t="shared" si="1"/>
        <v>9938</v>
      </c>
      <c r="F24" s="1">
        <f t="shared" si="2"/>
        <v>266</v>
      </c>
    </row>
    <row r="25" spans="1:6" x14ac:dyDescent="0.25">
      <c r="A25" s="6" t="str">
        <f t="shared" si="0"/>
        <v>WED</v>
      </c>
      <c r="B25" s="3">
        <v>43971</v>
      </c>
      <c r="C25" s="2">
        <v>5051</v>
      </c>
      <c r="D25" s="2">
        <v>4854</v>
      </c>
      <c r="E25" s="2">
        <f t="shared" si="1"/>
        <v>9905</v>
      </c>
      <c r="F25" s="1">
        <f t="shared" si="2"/>
        <v>197</v>
      </c>
    </row>
    <row r="26" spans="1:6" x14ac:dyDescent="0.25">
      <c r="A26" s="6" t="str">
        <f t="shared" si="0"/>
        <v>THU</v>
      </c>
      <c r="B26" s="3">
        <v>43972</v>
      </c>
      <c r="C26" s="2">
        <v>5246</v>
      </c>
      <c r="D26" s="2">
        <v>4973</v>
      </c>
      <c r="E26" s="2">
        <f t="shared" si="1"/>
        <v>10219</v>
      </c>
      <c r="F26" s="1">
        <f t="shared" si="2"/>
        <v>273</v>
      </c>
    </row>
    <row r="27" spans="1:6" x14ac:dyDescent="0.25">
      <c r="A27" s="6" t="str">
        <f t="shared" si="0"/>
        <v>FRI</v>
      </c>
      <c r="B27" s="3">
        <v>43973</v>
      </c>
      <c r="C27" s="2">
        <v>5384</v>
      </c>
      <c r="D27" s="2">
        <v>5033</v>
      </c>
      <c r="E27" s="2">
        <f t="shared" si="1"/>
        <v>10417</v>
      </c>
      <c r="F27" s="1">
        <f t="shared" si="2"/>
        <v>351</v>
      </c>
    </row>
    <row r="28" spans="1:6" x14ac:dyDescent="0.25">
      <c r="A28" s="6" t="str">
        <f t="shared" si="0"/>
        <v>SAT</v>
      </c>
      <c r="B28" s="3">
        <v>43974</v>
      </c>
      <c r="C28" s="2">
        <v>3291</v>
      </c>
      <c r="D28" s="2">
        <v>3062</v>
      </c>
      <c r="E28" s="2">
        <f t="shared" si="1"/>
        <v>6353</v>
      </c>
      <c r="F28" s="1">
        <f t="shared" si="2"/>
        <v>229</v>
      </c>
    </row>
    <row r="29" spans="1:6" x14ac:dyDescent="0.25">
      <c r="A29" s="6" t="str">
        <f t="shared" si="0"/>
        <v>SUN</v>
      </c>
      <c r="B29" s="3">
        <v>43975</v>
      </c>
      <c r="C29" s="2">
        <v>3973</v>
      </c>
      <c r="D29" s="2">
        <v>3614</v>
      </c>
      <c r="E29" s="2">
        <f t="shared" si="1"/>
        <v>7587</v>
      </c>
      <c r="F29" s="1">
        <f t="shared" si="2"/>
        <v>359</v>
      </c>
    </row>
    <row r="30" spans="1:6" x14ac:dyDescent="0.25">
      <c r="A30" s="6" t="str">
        <f t="shared" si="0"/>
        <v>MON</v>
      </c>
      <c r="B30" s="3">
        <v>43976</v>
      </c>
      <c r="C30" s="2">
        <v>4096</v>
      </c>
      <c r="D30" s="2">
        <v>3936</v>
      </c>
      <c r="E30" s="2">
        <f t="shared" si="1"/>
        <v>8032</v>
      </c>
      <c r="F30" s="1">
        <f t="shared" si="2"/>
        <v>160</v>
      </c>
    </row>
    <row r="31" spans="1:6" x14ac:dyDescent="0.25">
      <c r="A31" s="6" t="str">
        <f t="shared" si="0"/>
        <v>TUE</v>
      </c>
      <c r="B31" s="3">
        <v>43977</v>
      </c>
      <c r="C31" s="2">
        <v>5704</v>
      </c>
      <c r="D31" s="2">
        <v>5518</v>
      </c>
      <c r="E31" s="2">
        <f t="shared" si="1"/>
        <v>11222</v>
      </c>
      <c r="F31" s="1">
        <f t="shared" si="2"/>
        <v>186</v>
      </c>
    </row>
    <row r="32" spans="1:6" x14ac:dyDescent="0.25">
      <c r="A32" s="6" t="str">
        <f t="shared" si="0"/>
        <v>WED</v>
      </c>
      <c r="B32" s="3">
        <v>43978</v>
      </c>
      <c r="C32" s="2">
        <v>6056</v>
      </c>
      <c r="D32" s="2">
        <v>5690</v>
      </c>
      <c r="E32" s="2">
        <f t="shared" si="1"/>
        <v>11746</v>
      </c>
      <c r="F32" s="1">
        <f t="shared" si="2"/>
        <v>366</v>
      </c>
    </row>
    <row r="33" spans="1:6" x14ac:dyDescent="0.25">
      <c r="A33" s="6" t="str">
        <f t="shared" si="0"/>
        <v>THU</v>
      </c>
      <c r="B33" s="3">
        <v>43979</v>
      </c>
      <c r="C33" s="2">
        <v>5610</v>
      </c>
      <c r="D33" s="2">
        <v>5290</v>
      </c>
      <c r="E33" s="2">
        <f t="shared" si="1"/>
        <v>10900</v>
      </c>
      <c r="F33" s="1">
        <f t="shared" si="2"/>
        <v>320</v>
      </c>
    </row>
    <row r="34" spans="1:6" x14ac:dyDescent="0.25">
      <c r="A34" s="6" t="str">
        <f t="shared" si="0"/>
        <v>FRI</v>
      </c>
      <c r="B34" s="3">
        <v>43980</v>
      </c>
      <c r="C34" s="2">
        <v>5650</v>
      </c>
      <c r="D34" s="2">
        <v>5384</v>
      </c>
      <c r="E34" s="2">
        <f t="shared" si="1"/>
        <v>11034</v>
      </c>
      <c r="F34" s="1">
        <f t="shared" si="2"/>
        <v>266</v>
      </c>
    </row>
    <row r="35" spans="1:6" x14ac:dyDescent="0.25">
      <c r="A35" s="6" t="str">
        <f t="shared" si="0"/>
        <v>SAT</v>
      </c>
      <c r="B35" s="3">
        <v>43981</v>
      </c>
      <c r="C35" s="2">
        <v>4396</v>
      </c>
      <c r="D35" s="2">
        <v>4011</v>
      </c>
      <c r="E35" s="2">
        <f t="shared" si="1"/>
        <v>8407</v>
      </c>
      <c r="F35" s="1">
        <f t="shared" si="2"/>
        <v>385</v>
      </c>
    </row>
    <row r="36" spans="1:6" x14ac:dyDescent="0.25">
      <c r="A36" s="8" t="str">
        <f t="shared" si="0"/>
        <v>SUN</v>
      </c>
      <c r="B36" s="9">
        <v>43982</v>
      </c>
      <c r="C36" s="10">
        <v>4037</v>
      </c>
      <c r="D36" s="10">
        <v>3693</v>
      </c>
      <c r="E36" s="10">
        <f t="shared" si="1"/>
        <v>7730</v>
      </c>
      <c r="F36" s="1">
        <f t="shared" si="2"/>
        <v>344</v>
      </c>
    </row>
    <row r="37" spans="1:6" x14ac:dyDescent="0.25">
      <c r="A37" s="23" t="s">
        <v>7</v>
      </c>
      <c r="B37" s="23"/>
      <c r="C37" s="13">
        <f>SUM(C6:C36)</f>
        <v>138376</v>
      </c>
      <c r="D37" s="13">
        <f>SUM(D6:D36)</f>
        <v>132061</v>
      </c>
      <c r="E37" s="13">
        <f t="shared" si="1"/>
        <v>270437</v>
      </c>
    </row>
    <row r="40" spans="1:6" ht="14.4" thickBot="1" x14ac:dyDescent="0.3"/>
    <row r="41" spans="1:6" ht="14.4" thickBot="1" x14ac:dyDescent="0.3">
      <c r="A41" s="21" t="s">
        <v>8</v>
      </c>
      <c r="B41" s="22"/>
      <c r="C41" s="22"/>
      <c r="D41" s="7"/>
      <c r="E41" s="15">
        <f>E37</f>
        <v>270437</v>
      </c>
    </row>
  </sheetData>
  <mergeCells count="3">
    <mergeCell ref="A4:E4"/>
    <mergeCell ref="A41:C41"/>
    <mergeCell ref="A37:B37"/>
  </mergeCells>
  <pageMargins left="0.7" right="0.7" top="0.75" bottom="0.75" header="0.3" footer="0.3"/>
  <ignoredErrors>
    <ignoredError sqref="E6:E3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49"/>
  <sheetViews>
    <sheetView workbookViewId="0">
      <selection activeCell="A3" sqref="A3"/>
    </sheetView>
  </sheetViews>
  <sheetFormatPr defaultColWidth="12.6640625" defaultRowHeight="13.8" x14ac:dyDescent="0.25"/>
  <cols>
    <col min="1" max="16384" width="12.6640625" style="1"/>
  </cols>
  <sheetData>
    <row r="2" spans="1:15" x14ac:dyDescent="0.25">
      <c r="A2" s="29" t="s">
        <v>5</v>
      </c>
      <c r="B2" s="29"/>
      <c r="C2" s="29"/>
      <c r="D2" s="29"/>
      <c r="E2" s="29"/>
    </row>
    <row r="3" spans="1:15" ht="27.6" x14ac:dyDescent="0.25">
      <c r="A3" s="11" t="s">
        <v>2</v>
      </c>
      <c r="B3" s="11" t="s">
        <v>3</v>
      </c>
      <c r="C3" s="11" t="s">
        <v>0</v>
      </c>
      <c r="D3" s="11" t="s">
        <v>1</v>
      </c>
      <c r="E3" s="12" t="s">
        <v>4</v>
      </c>
    </row>
    <row r="4" spans="1:15" x14ac:dyDescent="0.25">
      <c r="A4" s="6" t="str">
        <f t="shared" ref="A4:A24" si="0">CHOOSE(WEEKDAY(B4),"SUN","MON","TUE","WED","THU","FRI","SAT")</f>
        <v>FRI</v>
      </c>
      <c r="B4" s="3">
        <v>43952</v>
      </c>
      <c r="C4" s="2">
        <v>4036</v>
      </c>
      <c r="D4" s="2">
        <v>4015</v>
      </c>
      <c r="E4" s="2">
        <f>SUM(C4:D4)</f>
        <v>8051</v>
      </c>
      <c r="J4" s="14"/>
    </row>
    <row r="5" spans="1:15" x14ac:dyDescent="0.25">
      <c r="A5" s="6" t="str">
        <f t="shared" si="0"/>
        <v>MON</v>
      </c>
      <c r="B5" s="3">
        <v>43955</v>
      </c>
      <c r="C5" s="2">
        <v>4491</v>
      </c>
      <c r="D5" s="2">
        <v>4387</v>
      </c>
      <c r="E5" s="2">
        <f t="shared" ref="E5:E24" si="1">SUM(C5:D5)</f>
        <v>8878</v>
      </c>
    </row>
    <row r="6" spans="1:15" x14ac:dyDescent="0.25">
      <c r="A6" s="6" t="str">
        <f t="shared" si="0"/>
        <v>TUE</v>
      </c>
      <c r="B6" s="3">
        <v>43956</v>
      </c>
      <c r="C6" s="2">
        <v>4417</v>
      </c>
      <c r="D6" s="2">
        <v>4241</v>
      </c>
      <c r="E6" s="2">
        <f t="shared" si="1"/>
        <v>8658</v>
      </c>
    </row>
    <row r="7" spans="1:15" x14ac:dyDescent="0.25">
      <c r="A7" s="6" t="str">
        <f t="shared" si="0"/>
        <v>WED</v>
      </c>
      <c r="B7" s="3">
        <v>43957</v>
      </c>
      <c r="C7" s="2">
        <v>4268</v>
      </c>
      <c r="D7" s="2">
        <v>4029</v>
      </c>
      <c r="E7" s="2">
        <f t="shared" si="1"/>
        <v>8297</v>
      </c>
    </row>
    <row r="8" spans="1:15" x14ac:dyDescent="0.25">
      <c r="A8" s="6" t="str">
        <f t="shared" si="0"/>
        <v>THU</v>
      </c>
      <c r="B8" s="3">
        <v>43958</v>
      </c>
      <c r="C8" s="2">
        <v>4708</v>
      </c>
      <c r="D8" s="2">
        <v>4534</v>
      </c>
      <c r="E8" s="2">
        <f t="shared" si="1"/>
        <v>9242</v>
      </c>
    </row>
    <row r="9" spans="1:15" x14ac:dyDescent="0.25">
      <c r="A9" s="6" t="str">
        <f t="shared" si="0"/>
        <v>FRI</v>
      </c>
      <c r="B9" s="3">
        <v>43959</v>
      </c>
      <c r="C9" s="2">
        <v>4456</v>
      </c>
      <c r="D9" s="2">
        <v>4192</v>
      </c>
      <c r="E9" s="2">
        <f t="shared" si="1"/>
        <v>8648</v>
      </c>
    </row>
    <row r="10" spans="1:15" x14ac:dyDescent="0.25">
      <c r="A10" s="6" t="str">
        <f t="shared" si="0"/>
        <v>MON</v>
      </c>
      <c r="B10" s="3">
        <v>43962</v>
      </c>
      <c r="C10" s="2">
        <v>4387</v>
      </c>
      <c r="D10" s="2">
        <v>4289</v>
      </c>
      <c r="E10" s="2">
        <f t="shared" si="1"/>
        <v>8676</v>
      </c>
    </row>
    <row r="11" spans="1:15" x14ac:dyDescent="0.25">
      <c r="A11" s="6" t="str">
        <f t="shared" si="0"/>
        <v>TUE</v>
      </c>
      <c r="B11" s="3">
        <v>43963</v>
      </c>
      <c r="C11" s="2">
        <v>4467</v>
      </c>
      <c r="D11" s="2">
        <v>4440</v>
      </c>
      <c r="E11" s="2">
        <f t="shared" si="1"/>
        <v>8907</v>
      </c>
    </row>
    <row r="12" spans="1:15" x14ac:dyDescent="0.25">
      <c r="A12" s="6" t="str">
        <f t="shared" si="0"/>
        <v>WED</v>
      </c>
      <c r="B12" s="3">
        <v>43964</v>
      </c>
      <c r="C12" s="2">
        <v>4416</v>
      </c>
      <c r="D12" s="2">
        <v>4607</v>
      </c>
      <c r="E12" s="2">
        <f t="shared" si="1"/>
        <v>9023</v>
      </c>
      <c r="O12" s="14"/>
    </row>
    <row r="13" spans="1:15" x14ac:dyDescent="0.25">
      <c r="A13" s="6" t="str">
        <f t="shared" si="0"/>
        <v>THU</v>
      </c>
      <c r="B13" s="3">
        <v>43965</v>
      </c>
      <c r="C13" s="2">
        <v>4527</v>
      </c>
      <c r="D13" s="2">
        <v>4587</v>
      </c>
      <c r="E13" s="2">
        <f t="shared" si="1"/>
        <v>9114</v>
      </c>
      <c r="O13" s="14"/>
    </row>
    <row r="14" spans="1:15" x14ac:dyDescent="0.25">
      <c r="A14" s="6" t="str">
        <f t="shared" si="0"/>
        <v>FRI</v>
      </c>
      <c r="B14" s="3">
        <v>43966</v>
      </c>
      <c r="C14" s="2">
        <v>4777</v>
      </c>
      <c r="D14" s="2">
        <v>4884</v>
      </c>
      <c r="E14" s="2">
        <f t="shared" si="1"/>
        <v>9661</v>
      </c>
    </row>
    <row r="15" spans="1:15" x14ac:dyDescent="0.25">
      <c r="A15" s="6" t="str">
        <f t="shared" si="0"/>
        <v>MON</v>
      </c>
      <c r="B15" s="3">
        <v>43969</v>
      </c>
      <c r="C15" s="2">
        <v>4932</v>
      </c>
      <c r="D15" s="2">
        <v>4792</v>
      </c>
      <c r="E15" s="2">
        <f t="shared" si="1"/>
        <v>9724</v>
      </c>
    </row>
    <row r="16" spans="1:15" x14ac:dyDescent="0.25">
      <c r="A16" s="6" t="str">
        <f t="shared" si="0"/>
        <v>TUE</v>
      </c>
      <c r="B16" s="3">
        <v>43970</v>
      </c>
      <c r="C16" s="2">
        <v>5102</v>
      </c>
      <c r="D16" s="2">
        <v>4836</v>
      </c>
      <c r="E16" s="2">
        <f t="shared" si="1"/>
        <v>9938</v>
      </c>
    </row>
    <row r="17" spans="1:15" x14ac:dyDescent="0.25">
      <c r="A17" s="6" t="str">
        <f t="shared" si="0"/>
        <v>WED</v>
      </c>
      <c r="B17" s="3">
        <v>43971</v>
      </c>
      <c r="C17" s="2">
        <v>5051</v>
      </c>
      <c r="D17" s="2">
        <v>4854</v>
      </c>
      <c r="E17" s="2">
        <f t="shared" si="1"/>
        <v>9905</v>
      </c>
    </row>
    <row r="18" spans="1:15" x14ac:dyDescent="0.25">
      <c r="A18" s="6" t="str">
        <f t="shared" si="0"/>
        <v>THU</v>
      </c>
      <c r="B18" s="3">
        <v>43972</v>
      </c>
      <c r="C18" s="2">
        <v>5246</v>
      </c>
      <c r="D18" s="2">
        <v>4973</v>
      </c>
      <c r="E18" s="2">
        <f t="shared" si="1"/>
        <v>10219</v>
      </c>
    </row>
    <row r="19" spans="1:15" x14ac:dyDescent="0.25">
      <c r="A19" s="6" t="str">
        <f t="shared" si="0"/>
        <v>FRI</v>
      </c>
      <c r="B19" s="3">
        <v>43973</v>
      </c>
      <c r="C19" s="2">
        <v>5384</v>
      </c>
      <c r="D19" s="2">
        <v>5033</v>
      </c>
      <c r="E19" s="2">
        <f t="shared" si="1"/>
        <v>10417</v>
      </c>
      <c r="O19" s="14"/>
    </row>
    <row r="20" spans="1:15" x14ac:dyDescent="0.25">
      <c r="A20" s="6" t="str">
        <f t="shared" si="0"/>
        <v>MON</v>
      </c>
      <c r="B20" s="3">
        <v>43976</v>
      </c>
      <c r="C20" s="2">
        <v>4096</v>
      </c>
      <c r="D20" s="2">
        <v>3936</v>
      </c>
      <c r="E20" s="2">
        <f t="shared" si="1"/>
        <v>8032</v>
      </c>
      <c r="O20" s="14"/>
    </row>
    <row r="21" spans="1:15" x14ac:dyDescent="0.25">
      <c r="A21" s="6" t="str">
        <f t="shared" si="0"/>
        <v>TUE</v>
      </c>
      <c r="B21" s="3">
        <v>43977</v>
      </c>
      <c r="C21" s="2">
        <v>5704</v>
      </c>
      <c r="D21" s="2">
        <v>5518</v>
      </c>
      <c r="E21" s="2">
        <f t="shared" si="1"/>
        <v>11222</v>
      </c>
      <c r="O21" s="14"/>
    </row>
    <row r="22" spans="1:15" x14ac:dyDescent="0.25">
      <c r="A22" s="6" t="str">
        <f t="shared" si="0"/>
        <v>WED</v>
      </c>
      <c r="B22" s="3">
        <v>43978</v>
      </c>
      <c r="C22" s="2">
        <v>6056</v>
      </c>
      <c r="D22" s="2">
        <v>5690</v>
      </c>
      <c r="E22" s="2">
        <f t="shared" si="1"/>
        <v>11746</v>
      </c>
      <c r="O22" s="14"/>
    </row>
    <row r="23" spans="1:15" x14ac:dyDescent="0.25">
      <c r="A23" s="6" t="str">
        <f t="shared" si="0"/>
        <v>THU</v>
      </c>
      <c r="B23" s="3">
        <v>43979</v>
      </c>
      <c r="C23" s="2">
        <v>5610</v>
      </c>
      <c r="D23" s="2">
        <v>5290</v>
      </c>
      <c r="E23" s="2">
        <f t="shared" si="1"/>
        <v>10900</v>
      </c>
      <c r="O23" s="14"/>
    </row>
    <row r="24" spans="1:15" x14ac:dyDescent="0.25">
      <c r="A24" s="6" t="str">
        <f t="shared" si="0"/>
        <v>FRI</v>
      </c>
      <c r="B24" s="3">
        <v>43980</v>
      </c>
      <c r="C24" s="2">
        <v>5650</v>
      </c>
      <c r="D24" s="2">
        <v>5384</v>
      </c>
      <c r="E24" s="2">
        <f t="shared" si="1"/>
        <v>11034</v>
      </c>
      <c r="O24" s="14"/>
    </row>
    <row r="25" spans="1:15" x14ac:dyDescent="0.25">
      <c r="A25" s="23" t="s">
        <v>9</v>
      </c>
      <c r="B25" s="23"/>
      <c r="C25" s="13">
        <f>SUM(C4:C24)</f>
        <v>101781</v>
      </c>
      <c r="D25" s="13">
        <f t="shared" ref="D25:E25" si="2">SUM(D4:D24)</f>
        <v>98511</v>
      </c>
      <c r="E25" s="13">
        <f t="shared" si="2"/>
        <v>200292</v>
      </c>
      <c r="O25" s="14"/>
    </row>
    <row r="26" spans="1:15" x14ac:dyDescent="0.25">
      <c r="O26" s="14"/>
    </row>
    <row r="27" spans="1:15" x14ac:dyDescent="0.25">
      <c r="A27" s="27" t="s">
        <v>12</v>
      </c>
      <c r="B27" s="30"/>
      <c r="C27" s="30"/>
      <c r="D27" s="28"/>
      <c r="E27" s="13">
        <f>E25</f>
        <v>200292</v>
      </c>
      <c r="O27" s="14"/>
    </row>
    <row r="28" spans="1:15" x14ac:dyDescent="0.25">
      <c r="A28" s="27" t="s">
        <v>13</v>
      </c>
      <c r="B28" s="30"/>
      <c r="C28" s="30"/>
      <c r="D28" s="28"/>
      <c r="E28" s="16">
        <f>AVERAGE(E4:E24)</f>
        <v>9537.7142857142862</v>
      </c>
      <c r="O28" s="14"/>
    </row>
    <row r="29" spans="1:15" x14ac:dyDescent="0.25">
      <c r="A29" s="17"/>
      <c r="B29" s="17"/>
      <c r="C29" s="17"/>
      <c r="D29" s="17"/>
      <c r="E29" s="18"/>
      <c r="O29" s="14"/>
    </row>
    <row r="30" spans="1:15" x14ac:dyDescent="0.25">
      <c r="A30" s="17"/>
      <c r="B30" s="17"/>
      <c r="C30" s="17"/>
      <c r="D30" s="17"/>
      <c r="E30" s="18"/>
      <c r="O30" s="14"/>
    </row>
    <row r="31" spans="1:15" x14ac:dyDescent="0.25">
      <c r="O31" s="14"/>
    </row>
    <row r="32" spans="1:15" x14ac:dyDescent="0.25">
      <c r="O32" s="14"/>
    </row>
    <row r="33" spans="1:15" x14ac:dyDescent="0.25">
      <c r="O33" s="14"/>
    </row>
    <row r="34" spans="1:15" x14ac:dyDescent="0.25">
      <c r="A34" s="24" t="s">
        <v>6</v>
      </c>
      <c r="B34" s="25"/>
      <c r="C34" s="25"/>
      <c r="D34" s="25"/>
      <c r="E34" s="26"/>
      <c r="O34" s="14"/>
    </row>
    <row r="35" spans="1:15" ht="27.6" x14ac:dyDescent="0.25">
      <c r="A35" s="11" t="s">
        <v>2</v>
      </c>
      <c r="B35" s="11" t="s">
        <v>3</v>
      </c>
      <c r="C35" s="11" t="s">
        <v>0</v>
      </c>
      <c r="D35" s="11" t="s">
        <v>1</v>
      </c>
      <c r="E35" s="12" t="s">
        <v>4</v>
      </c>
      <c r="O35" s="14"/>
    </row>
    <row r="36" spans="1:15" x14ac:dyDescent="0.25">
      <c r="A36" s="6" t="str">
        <f t="shared" ref="A36:A45" si="3">CHOOSE(WEEKDAY(B36),"SUN","MON","TUE","WED","THU","FRI","SAT")</f>
        <v>SAT</v>
      </c>
      <c r="B36" s="3">
        <v>43953</v>
      </c>
      <c r="C36" s="2">
        <v>3641</v>
      </c>
      <c r="D36" s="2">
        <v>3292</v>
      </c>
      <c r="E36" s="2">
        <f>SUM(C36:D36)</f>
        <v>6933</v>
      </c>
      <c r="O36" s="14"/>
    </row>
    <row r="37" spans="1:15" x14ac:dyDescent="0.25">
      <c r="A37" s="6" t="str">
        <f t="shared" si="3"/>
        <v>SUN</v>
      </c>
      <c r="B37" s="3">
        <v>43954</v>
      </c>
      <c r="C37" s="2">
        <v>3144</v>
      </c>
      <c r="D37" s="2">
        <v>2765</v>
      </c>
      <c r="E37" s="2">
        <f t="shared" ref="E37:E45" si="4">SUM(C37:D37)</f>
        <v>5909</v>
      </c>
      <c r="O37" s="14"/>
    </row>
    <row r="38" spans="1:15" x14ac:dyDescent="0.25">
      <c r="A38" s="6" t="str">
        <f t="shared" si="3"/>
        <v>SAT</v>
      </c>
      <c r="B38" s="3">
        <v>43960</v>
      </c>
      <c r="C38" s="2">
        <v>3164</v>
      </c>
      <c r="D38" s="2">
        <v>3055</v>
      </c>
      <c r="E38" s="2">
        <f t="shared" si="4"/>
        <v>6219</v>
      </c>
      <c r="O38" s="14"/>
    </row>
    <row r="39" spans="1:15" x14ac:dyDescent="0.25">
      <c r="A39" s="6" t="str">
        <f t="shared" si="3"/>
        <v>SUN</v>
      </c>
      <c r="B39" s="3">
        <v>43961</v>
      </c>
      <c r="C39" s="2">
        <v>3443</v>
      </c>
      <c r="D39" s="2">
        <v>3118</v>
      </c>
      <c r="E39" s="2">
        <f t="shared" si="4"/>
        <v>6561</v>
      </c>
      <c r="O39" s="14"/>
    </row>
    <row r="40" spans="1:15" x14ac:dyDescent="0.25">
      <c r="A40" s="6" t="str">
        <f t="shared" si="3"/>
        <v>SAT</v>
      </c>
      <c r="B40" s="3">
        <v>43967</v>
      </c>
      <c r="C40" s="2">
        <v>4132</v>
      </c>
      <c r="D40" s="2">
        <v>3872</v>
      </c>
      <c r="E40" s="2">
        <f t="shared" si="4"/>
        <v>8004</v>
      </c>
      <c r="O40" s="14"/>
    </row>
    <row r="41" spans="1:15" x14ac:dyDescent="0.25">
      <c r="A41" s="6" t="str">
        <f t="shared" si="3"/>
        <v>SUN</v>
      </c>
      <c r="B41" s="3">
        <v>43968</v>
      </c>
      <c r="C41" s="2">
        <v>3374</v>
      </c>
      <c r="D41" s="2">
        <v>3068</v>
      </c>
      <c r="E41" s="2">
        <f t="shared" si="4"/>
        <v>6442</v>
      </c>
      <c r="O41" s="14"/>
    </row>
    <row r="42" spans="1:15" x14ac:dyDescent="0.25">
      <c r="A42" s="6" t="str">
        <f t="shared" si="3"/>
        <v>SAT</v>
      </c>
      <c r="B42" s="3">
        <v>43974</v>
      </c>
      <c r="C42" s="2">
        <v>3291</v>
      </c>
      <c r="D42" s="2">
        <v>3062</v>
      </c>
      <c r="E42" s="2">
        <f t="shared" si="4"/>
        <v>6353</v>
      </c>
      <c r="O42" s="14"/>
    </row>
    <row r="43" spans="1:15" x14ac:dyDescent="0.25">
      <c r="A43" s="6" t="str">
        <f t="shared" si="3"/>
        <v>SUN</v>
      </c>
      <c r="B43" s="3">
        <v>43975</v>
      </c>
      <c r="C43" s="2">
        <v>3973</v>
      </c>
      <c r="D43" s="2">
        <v>3614</v>
      </c>
      <c r="E43" s="2">
        <f t="shared" si="4"/>
        <v>7587</v>
      </c>
      <c r="O43" s="14"/>
    </row>
    <row r="44" spans="1:15" x14ac:dyDescent="0.25">
      <c r="A44" s="6" t="str">
        <f t="shared" si="3"/>
        <v>SAT</v>
      </c>
      <c r="B44" s="3">
        <v>43981</v>
      </c>
      <c r="C44" s="2">
        <v>4396</v>
      </c>
      <c r="D44" s="2">
        <v>4011</v>
      </c>
      <c r="E44" s="2">
        <f t="shared" si="4"/>
        <v>8407</v>
      </c>
      <c r="O44" s="14"/>
    </row>
    <row r="45" spans="1:15" x14ac:dyDescent="0.25">
      <c r="A45" s="6" t="str">
        <f t="shared" si="3"/>
        <v>SUN</v>
      </c>
      <c r="B45" s="3">
        <v>43982</v>
      </c>
      <c r="C45" s="2">
        <v>4037</v>
      </c>
      <c r="D45" s="2">
        <v>3693</v>
      </c>
      <c r="E45" s="2">
        <f t="shared" si="4"/>
        <v>7730</v>
      </c>
      <c r="O45" s="14"/>
    </row>
    <row r="46" spans="1:15" x14ac:dyDescent="0.25">
      <c r="A46" s="27" t="s">
        <v>9</v>
      </c>
      <c r="B46" s="28"/>
      <c r="C46" s="13">
        <f>SUM(C36:C45)</f>
        <v>36595</v>
      </c>
      <c r="D46" s="13">
        <f>SUM(D36:D45)</f>
        <v>33550</v>
      </c>
      <c r="E46" s="13">
        <f>SUM(E36:E45)</f>
        <v>70145</v>
      </c>
      <c r="O46" s="14"/>
    </row>
    <row r="47" spans="1:15" x14ac:dyDescent="0.25">
      <c r="O47" s="14"/>
    </row>
    <row r="48" spans="1:15" x14ac:dyDescent="0.25">
      <c r="A48" s="23" t="s">
        <v>10</v>
      </c>
      <c r="B48" s="23"/>
      <c r="C48" s="23"/>
      <c r="D48" s="23"/>
      <c r="E48" s="13">
        <f>AVERAGE(E36,E38,E40,E42,E44)</f>
        <v>7183.2</v>
      </c>
      <c r="O48" s="14"/>
    </row>
    <row r="49" spans="1:15" x14ac:dyDescent="0.25">
      <c r="A49" s="23" t="s">
        <v>11</v>
      </c>
      <c r="B49" s="23"/>
      <c r="C49" s="23"/>
      <c r="D49" s="23"/>
      <c r="E49" s="16">
        <f>AVERAGE(E37,E39,E41,E43,E45)</f>
        <v>6845.8</v>
      </c>
      <c r="O49" s="14"/>
    </row>
  </sheetData>
  <mergeCells count="8">
    <mergeCell ref="A48:D48"/>
    <mergeCell ref="A49:D49"/>
    <mergeCell ref="A34:E34"/>
    <mergeCell ref="A46:B46"/>
    <mergeCell ref="A2:E2"/>
    <mergeCell ref="A25:B25"/>
    <mergeCell ref="A27:D27"/>
    <mergeCell ref="A28:D28"/>
  </mergeCells>
  <pageMargins left="0.7" right="0.7" top="0.75" bottom="0.75" header="0.3" footer="0.3"/>
  <ignoredErrors>
    <ignoredError sqref="E4:E24 E36:E45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9" ma:contentTypeDescription="Create a new document." ma:contentTypeScope="" ma:versionID="08fbae0c7f9a8e2444046f9c4a1f6255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eee80be5f8846f68db7a88c41e92a792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C1065AB-30A6-429E-9593-6571326D4E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6DAF5D-F99D-4C5D-8625-35C088C955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A89D13-1484-4D14-9B9F-1E4A79F98F5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WEEKDAY-WEEKEND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James-Young, Jean</dc:creator>
  <cp:lastModifiedBy>Lucy Santana</cp:lastModifiedBy>
  <dcterms:created xsi:type="dcterms:W3CDTF">2020-05-29T17:39:36Z</dcterms:created>
  <dcterms:modified xsi:type="dcterms:W3CDTF">2026-04-07T23:52:23Z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