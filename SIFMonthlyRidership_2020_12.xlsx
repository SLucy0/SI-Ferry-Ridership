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1" documentId="8_{95E927E0-13D2-43F9-998C-33EBA23F51D4}" xr6:coauthVersionLast="47" xr6:coauthVersionMax="47" xr10:uidLastSave="{6E7385F2-AFBD-4182-9EF1-C2B3F70A6BD6}"/>
  <bookViews>
    <workbookView xWindow="-108" yWindow="-108" windowWidth="23256" windowHeight="13896" xr2:uid="{00000000-000D-0000-FFFF-FFFF00000000}"/>
  </bookViews>
  <sheets>
    <sheet name="TOTALS" sheetId="1" r:id="rId1"/>
    <sheet name="Weekday-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43" i="2"/>
  <c r="A42" i="2"/>
  <c r="A41" i="2"/>
  <c r="A40" i="2"/>
  <c r="A39" i="2"/>
  <c r="A38" i="2"/>
  <c r="A37" i="2"/>
  <c r="A36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D37" i="1"/>
  <c r="C3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  <c r="E37" i="2"/>
  <c r="E38" i="2"/>
  <c r="E39" i="2"/>
  <c r="E40" i="2"/>
  <c r="E41" i="2"/>
  <c r="E42" i="2"/>
  <c r="E43" i="2"/>
  <c r="E36" i="2"/>
  <c r="E47" i="2" s="1"/>
  <c r="D44" i="2"/>
  <c r="C4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4" i="2"/>
  <c r="D27" i="2"/>
  <c r="C27" i="2"/>
  <c r="E48" i="2" l="1"/>
  <c r="E27" i="2"/>
  <c r="E29" i="2" s="1"/>
  <c r="E37" i="1"/>
  <c r="E39" i="1" s="1"/>
  <c r="E44" i="2"/>
  <c r="E46" i="2" s="1"/>
</calcChain>
</file>

<file path=xl/sharedStrings.xml><?xml version="1.0" encoding="utf-8"?>
<sst xmlns="http://schemas.openxmlformats.org/spreadsheetml/2006/main" count="25" uniqueCount="13">
  <si>
    <t>Day</t>
  </si>
  <si>
    <t>Date</t>
  </si>
  <si>
    <t>WHT</t>
  </si>
  <si>
    <t>STG</t>
  </si>
  <si>
    <t>Combined Total</t>
  </si>
  <si>
    <t>Total</t>
  </si>
  <si>
    <t>Total Ridership December 2020:</t>
  </si>
  <si>
    <t>December 2020: WEEKDAY TOTALS</t>
  </si>
  <si>
    <t>December 2020: WEEKEND TOTALS</t>
  </si>
  <si>
    <t>Total Weekday Ridership December 2020:</t>
  </si>
  <si>
    <t>Total Weekend Ridership:</t>
  </si>
  <si>
    <t>Average SAT Ridership:</t>
  </si>
  <si>
    <t>Average SUN Ridership: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</si>
</sst>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4" fontId="1" fillId="0" borderId="0" xfId="0" applyNumberFormat="1" applyFont="1" applyAlignment="1">
      <alignment horizontal="center"/>
    </xf>
    <xf numFmtId="164" fontId="1" fillId="0" borderId="1" xfId="1" applyNumberFormat="1" applyFont="1" applyBorder="1" applyAlignment="1">
      <alignment horizontal="right"/>
    </xf>
    <xf numFmtId="0" fontId="1" fillId="4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39"/>
  <sheetViews>
    <sheetView tabSelected="1" workbookViewId="0">
      <selection activeCell="G4" sqref="G4"/>
    </sheetView>
  </sheetViews>
  <sheetFormatPr defaultColWidth="13.6640625" defaultRowHeight="13.8" x14ac:dyDescent="0.25"/>
  <cols>
    <col min="1" max="16384" width="13.6640625" style="1"/>
  </cols>
  <sheetData>
    <row r="4" spans="1:5" x14ac:dyDescent="0.25">
      <c r="A4" s="13">
        <v>44166</v>
      </c>
      <c r="B4" s="14"/>
      <c r="C4" s="14"/>
      <c r="D4" s="14"/>
      <c r="E4" s="14"/>
    </row>
    <row r="5" spans="1:5" x14ac:dyDescent="0.25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tr">
        <f t="shared" ref="A6:A36" si="0">CHOOSE(WEEKDAY(B6),"SUN","MON","TUE","WED","THU","FRI","SAT")</f>
        <v>TUE</v>
      </c>
      <c r="B6" s="5">
        <v>44166</v>
      </c>
      <c r="C6" s="7">
        <v>11099</v>
      </c>
      <c r="D6" s="7">
        <v>10765</v>
      </c>
      <c r="E6" s="6">
        <f>C6+D6</f>
        <v>21864</v>
      </c>
    </row>
    <row r="7" spans="1:5" x14ac:dyDescent="0.25">
      <c r="A7" s="4" t="str">
        <f t="shared" si="0"/>
        <v>WED</v>
      </c>
      <c r="B7" s="5">
        <v>44167</v>
      </c>
      <c r="C7" s="7">
        <v>10632</v>
      </c>
      <c r="D7" s="7">
        <v>10480</v>
      </c>
      <c r="E7" s="6">
        <f t="shared" ref="E7:E36" si="1">C7+D7</f>
        <v>21112</v>
      </c>
    </row>
    <row r="8" spans="1:5" x14ac:dyDescent="0.25">
      <c r="A8" s="4" t="str">
        <f t="shared" si="0"/>
        <v>THU</v>
      </c>
      <c r="B8" s="5">
        <v>44168</v>
      </c>
      <c r="C8" s="7">
        <v>10859</v>
      </c>
      <c r="D8" s="7">
        <v>10799</v>
      </c>
      <c r="E8" s="6">
        <f t="shared" si="1"/>
        <v>21658</v>
      </c>
    </row>
    <row r="9" spans="1:5" x14ac:dyDescent="0.25">
      <c r="A9" s="4" t="str">
        <f t="shared" si="0"/>
        <v>FRI</v>
      </c>
      <c r="B9" s="5">
        <v>44169</v>
      </c>
      <c r="C9" s="7">
        <v>10502</v>
      </c>
      <c r="D9" s="7">
        <v>10455</v>
      </c>
      <c r="E9" s="6">
        <f t="shared" si="1"/>
        <v>20957</v>
      </c>
    </row>
    <row r="10" spans="1:5" x14ac:dyDescent="0.25">
      <c r="A10" s="4" t="str">
        <f t="shared" si="0"/>
        <v>SAT</v>
      </c>
      <c r="B10" s="5">
        <v>44170</v>
      </c>
      <c r="C10" s="7">
        <v>6566</v>
      </c>
      <c r="D10" s="7">
        <v>6297</v>
      </c>
      <c r="E10" s="6">
        <f t="shared" si="1"/>
        <v>12863</v>
      </c>
    </row>
    <row r="11" spans="1:5" x14ac:dyDescent="0.25">
      <c r="A11" s="4" t="str">
        <f t="shared" si="0"/>
        <v>SUN</v>
      </c>
      <c r="B11" s="5">
        <v>44171</v>
      </c>
      <c r="C11" s="7">
        <v>6738</v>
      </c>
      <c r="D11" s="7">
        <v>6507</v>
      </c>
      <c r="E11" s="6">
        <f t="shared" si="1"/>
        <v>13245</v>
      </c>
    </row>
    <row r="12" spans="1:5" x14ac:dyDescent="0.25">
      <c r="A12" s="4" t="str">
        <f t="shared" si="0"/>
        <v>MON</v>
      </c>
      <c r="B12" s="5">
        <v>44172</v>
      </c>
      <c r="C12" s="7">
        <v>10407</v>
      </c>
      <c r="D12" s="7">
        <v>10320</v>
      </c>
      <c r="E12" s="6">
        <f t="shared" si="1"/>
        <v>20727</v>
      </c>
    </row>
    <row r="13" spans="1:5" x14ac:dyDescent="0.25">
      <c r="A13" s="4" t="str">
        <f t="shared" si="0"/>
        <v>TUE</v>
      </c>
      <c r="B13" s="5">
        <v>44173</v>
      </c>
      <c r="C13" s="7">
        <v>10510</v>
      </c>
      <c r="D13" s="7">
        <v>10444</v>
      </c>
      <c r="E13" s="6">
        <f t="shared" si="1"/>
        <v>20954</v>
      </c>
    </row>
    <row r="14" spans="1:5" x14ac:dyDescent="0.25">
      <c r="A14" s="4" t="str">
        <f t="shared" si="0"/>
        <v>WED</v>
      </c>
      <c r="B14" s="5">
        <v>44174</v>
      </c>
      <c r="C14" s="7">
        <v>10184</v>
      </c>
      <c r="D14" s="7">
        <v>9985</v>
      </c>
      <c r="E14" s="6">
        <f t="shared" si="1"/>
        <v>20169</v>
      </c>
    </row>
    <row r="15" spans="1:5" x14ac:dyDescent="0.25">
      <c r="A15" s="4" t="str">
        <f t="shared" si="0"/>
        <v>THU</v>
      </c>
      <c r="B15" s="5">
        <v>44175</v>
      </c>
      <c r="C15" s="7">
        <v>10837</v>
      </c>
      <c r="D15" s="7">
        <v>10747</v>
      </c>
      <c r="E15" s="6">
        <f t="shared" si="1"/>
        <v>21584</v>
      </c>
    </row>
    <row r="16" spans="1:5" x14ac:dyDescent="0.25">
      <c r="A16" s="4" t="str">
        <f t="shared" si="0"/>
        <v>FRI</v>
      </c>
      <c r="B16" s="5">
        <v>44176</v>
      </c>
      <c r="C16" s="7">
        <v>11335</v>
      </c>
      <c r="D16" s="7">
        <v>11385</v>
      </c>
      <c r="E16" s="6">
        <f t="shared" si="1"/>
        <v>22720</v>
      </c>
    </row>
    <row r="17" spans="1:9" x14ac:dyDescent="0.25">
      <c r="A17" s="4" t="str">
        <f t="shared" si="0"/>
        <v>SAT</v>
      </c>
      <c r="B17" s="5">
        <v>44177</v>
      </c>
      <c r="C17" s="7">
        <v>7645</v>
      </c>
      <c r="D17" s="7">
        <v>7768</v>
      </c>
      <c r="E17" s="6">
        <f t="shared" si="1"/>
        <v>15413</v>
      </c>
      <c r="I17" s="9"/>
    </row>
    <row r="18" spans="1:9" x14ac:dyDescent="0.25">
      <c r="A18" s="4" t="str">
        <f t="shared" si="0"/>
        <v>SUN</v>
      </c>
      <c r="B18" s="5">
        <v>44178</v>
      </c>
      <c r="C18" s="7">
        <v>7807</v>
      </c>
      <c r="D18" s="7">
        <v>7418</v>
      </c>
      <c r="E18" s="6">
        <f t="shared" si="1"/>
        <v>15225</v>
      </c>
      <c r="I18" s="9"/>
    </row>
    <row r="19" spans="1:9" x14ac:dyDescent="0.25">
      <c r="A19" s="4" t="str">
        <f t="shared" si="0"/>
        <v>MON</v>
      </c>
      <c r="B19" s="5">
        <v>44179</v>
      </c>
      <c r="C19" s="7">
        <v>9534</v>
      </c>
      <c r="D19" s="7">
        <v>9375</v>
      </c>
      <c r="E19" s="6">
        <f t="shared" si="1"/>
        <v>18909</v>
      </c>
      <c r="I19" s="9"/>
    </row>
    <row r="20" spans="1:9" x14ac:dyDescent="0.25">
      <c r="A20" s="4" t="str">
        <f t="shared" si="0"/>
        <v>TUE</v>
      </c>
      <c r="B20" s="5">
        <v>44180</v>
      </c>
      <c r="C20" s="7">
        <v>10839</v>
      </c>
      <c r="D20" s="7">
        <v>10708</v>
      </c>
      <c r="E20" s="6">
        <f t="shared" si="1"/>
        <v>21547</v>
      </c>
      <c r="I20" s="9"/>
    </row>
    <row r="21" spans="1:9" x14ac:dyDescent="0.25">
      <c r="A21" s="4" t="str">
        <f t="shared" si="0"/>
        <v>WED</v>
      </c>
      <c r="B21" s="5">
        <v>44181</v>
      </c>
      <c r="C21" s="7">
        <v>8774</v>
      </c>
      <c r="D21" s="7">
        <v>8868</v>
      </c>
      <c r="E21" s="6">
        <f t="shared" si="1"/>
        <v>17642</v>
      </c>
      <c r="I21" s="9"/>
    </row>
    <row r="22" spans="1:9" x14ac:dyDescent="0.25">
      <c r="A22" s="4" t="str">
        <f t="shared" si="0"/>
        <v>THU</v>
      </c>
      <c r="B22" s="5">
        <v>44182</v>
      </c>
      <c r="C22" s="7">
        <v>5487</v>
      </c>
      <c r="D22" s="7">
        <v>4951</v>
      </c>
      <c r="E22" s="6">
        <f t="shared" si="1"/>
        <v>10438</v>
      </c>
      <c r="I22" s="9"/>
    </row>
    <row r="23" spans="1:9" x14ac:dyDescent="0.25">
      <c r="A23" s="4" t="str">
        <f t="shared" si="0"/>
        <v>FRI</v>
      </c>
      <c r="B23" s="5">
        <v>44183</v>
      </c>
      <c r="C23" s="7">
        <v>10252</v>
      </c>
      <c r="D23" s="7">
        <v>10044</v>
      </c>
      <c r="E23" s="6">
        <f t="shared" si="1"/>
        <v>20296</v>
      </c>
      <c r="I23" s="9"/>
    </row>
    <row r="24" spans="1:9" x14ac:dyDescent="0.25">
      <c r="A24" s="4" t="str">
        <f t="shared" si="0"/>
        <v>SAT</v>
      </c>
      <c r="B24" s="5">
        <v>44184</v>
      </c>
      <c r="C24" s="7">
        <v>7536</v>
      </c>
      <c r="D24" s="7">
        <v>7318</v>
      </c>
      <c r="E24" s="6">
        <f t="shared" si="1"/>
        <v>14854</v>
      </c>
      <c r="I24" s="9"/>
    </row>
    <row r="25" spans="1:9" x14ac:dyDescent="0.25">
      <c r="A25" s="4" t="str">
        <f t="shared" si="0"/>
        <v>SUN</v>
      </c>
      <c r="B25" s="5">
        <v>44185</v>
      </c>
      <c r="C25" s="7">
        <v>6070</v>
      </c>
      <c r="D25" s="7">
        <v>5932</v>
      </c>
      <c r="E25" s="6">
        <f t="shared" si="1"/>
        <v>12002</v>
      </c>
      <c r="I25" s="9"/>
    </row>
    <row r="26" spans="1:9" x14ac:dyDescent="0.25">
      <c r="A26" s="4" t="str">
        <f t="shared" si="0"/>
        <v>MON</v>
      </c>
      <c r="B26" s="5">
        <v>44186</v>
      </c>
      <c r="C26" s="7">
        <v>10746</v>
      </c>
      <c r="D26" s="7">
        <v>10674</v>
      </c>
      <c r="E26" s="6">
        <f t="shared" si="1"/>
        <v>21420</v>
      </c>
      <c r="I26" s="9"/>
    </row>
    <row r="27" spans="1:9" x14ac:dyDescent="0.25">
      <c r="A27" s="4" t="str">
        <f t="shared" si="0"/>
        <v>TUE</v>
      </c>
      <c r="B27" s="5">
        <v>44187</v>
      </c>
      <c r="C27" s="7">
        <v>11226</v>
      </c>
      <c r="D27" s="7">
        <v>11193</v>
      </c>
      <c r="E27" s="6">
        <f t="shared" si="1"/>
        <v>22419</v>
      </c>
      <c r="I27" s="9"/>
    </row>
    <row r="28" spans="1:9" x14ac:dyDescent="0.25">
      <c r="A28" s="4" t="str">
        <f t="shared" si="0"/>
        <v>WED</v>
      </c>
      <c r="B28" s="5">
        <v>44188</v>
      </c>
      <c r="C28" s="7">
        <v>11303</v>
      </c>
      <c r="D28" s="7">
        <v>11087</v>
      </c>
      <c r="E28" s="6">
        <f t="shared" si="1"/>
        <v>22390</v>
      </c>
      <c r="I28" s="9"/>
    </row>
    <row r="29" spans="1:9" x14ac:dyDescent="0.25">
      <c r="A29" s="4" t="str">
        <f t="shared" si="0"/>
        <v>THU</v>
      </c>
      <c r="B29" s="5">
        <v>44189</v>
      </c>
      <c r="C29" s="7">
        <v>9102</v>
      </c>
      <c r="D29" s="7">
        <v>8739</v>
      </c>
      <c r="E29" s="6">
        <f t="shared" si="1"/>
        <v>17841</v>
      </c>
    </row>
    <row r="30" spans="1:9" x14ac:dyDescent="0.25">
      <c r="A30" s="4" t="str">
        <f t="shared" si="0"/>
        <v>FRI</v>
      </c>
      <c r="B30" s="5">
        <v>44190</v>
      </c>
      <c r="C30" s="7">
        <v>5238</v>
      </c>
      <c r="D30" s="7">
        <v>5086</v>
      </c>
      <c r="E30" s="6">
        <f t="shared" si="1"/>
        <v>10324</v>
      </c>
    </row>
    <row r="31" spans="1:9" x14ac:dyDescent="0.25">
      <c r="A31" s="4" t="str">
        <f t="shared" si="0"/>
        <v>SAT</v>
      </c>
      <c r="B31" s="5">
        <v>44191</v>
      </c>
      <c r="C31" s="7">
        <v>8177</v>
      </c>
      <c r="D31" s="7">
        <v>7941</v>
      </c>
      <c r="E31" s="6">
        <f t="shared" si="1"/>
        <v>16118</v>
      </c>
    </row>
    <row r="32" spans="1:9" x14ac:dyDescent="0.25">
      <c r="A32" s="4" t="str">
        <f t="shared" si="0"/>
        <v>SUN</v>
      </c>
      <c r="B32" s="5">
        <v>44192</v>
      </c>
      <c r="C32" s="7">
        <v>7483</v>
      </c>
      <c r="D32" s="7">
        <v>7425</v>
      </c>
      <c r="E32" s="6">
        <f t="shared" si="1"/>
        <v>14908</v>
      </c>
    </row>
    <row r="33" spans="1:5" x14ac:dyDescent="0.25">
      <c r="A33" s="4" t="str">
        <f t="shared" si="0"/>
        <v>MON</v>
      </c>
      <c r="B33" s="5">
        <v>44193</v>
      </c>
      <c r="C33" s="7">
        <v>11507</v>
      </c>
      <c r="D33" s="7">
        <v>11455</v>
      </c>
      <c r="E33" s="6">
        <f t="shared" si="1"/>
        <v>22962</v>
      </c>
    </row>
    <row r="34" spans="1:5" x14ac:dyDescent="0.25">
      <c r="A34" s="4" t="str">
        <f t="shared" si="0"/>
        <v>TUE</v>
      </c>
      <c r="B34" s="5">
        <v>44194</v>
      </c>
      <c r="C34" s="7">
        <v>11154</v>
      </c>
      <c r="D34" s="7">
        <v>10984</v>
      </c>
      <c r="E34" s="6">
        <f t="shared" si="1"/>
        <v>22138</v>
      </c>
    </row>
    <row r="35" spans="1:5" x14ac:dyDescent="0.25">
      <c r="A35" s="4" t="str">
        <f t="shared" si="0"/>
        <v>WED</v>
      </c>
      <c r="B35" s="5">
        <v>44195</v>
      </c>
      <c r="C35" s="7">
        <v>11443</v>
      </c>
      <c r="D35" s="7">
        <v>11318</v>
      </c>
      <c r="E35" s="6">
        <f t="shared" si="1"/>
        <v>22761</v>
      </c>
    </row>
    <row r="36" spans="1:5" x14ac:dyDescent="0.25">
      <c r="A36" s="4" t="str">
        <f t="shared" si="0"/>
        <v>THU</v>
      </c>
      <c r="B36" s="5">
        <v>44196</v>
      </c>
      <c r="C36" s="7">
        <v>9160</v>
      </c>
      <c r="D36" s="7">
        <v>9343</v>
      </c>
      <c r="E36" s="6">
        <f t="shared" si="1"/>
        <v>18503</v>
      </c>
    </row>
    <row r="37" spans="1:5" x14ac:dyDescent="0.25">
      <c r="A37" s="15" t="s">
        <v>5</v>
      </c>
      <c r="B37" s="15"/>
      <c r="C37" s="6">
        <f>SUM(C6:C36)</f>
        <v>290152</v>
      </c>
      <c r="D37" s="6">
        <f>SUM(D6:D36)</f>
        <v>285811</v>
      </c>
      <c r="E37" s="6">
        <f>SUM(E6:E36)</f>
        <v>575963</v>
      </c>
    </row>
    <row r="39" spans="1:5" x14ac:dyDescent="0.25">
      <c r="A39" s="15" t="s">
        <v>6</v>
      </c>
      <c r="B39" s="15"/>
      <c r="C39" s="15"/>
      <c r="D39" s="15"/>
      <c r="E39" s="6">
        <f>E37</f>
        <v>575963</v>
      </c>
    </row>
  </sheetData>
  <mergeCells count="3">
    <mergeCell ref="A4:E4"/>
    <mergeCell ref="A39:D39"/>
    <mergeCell ref="A37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8"/>
  <sheetViews>
    <sheetView workbookViewId="0"/>
  </sheetViews>
  <sheetFormatPr defaultColWidth="13.6640625" defaultRowHeight="13.8" x14ac:dyDescent="0.25"/>
  <cols>
    <col min="1" max="16384" width="13.6640625" style="1"/>
  </cols>
  <sheetData>
    <row r="2" spans="1:5" x14ac:dyDescent="0.25">
      <c r="A2" s="13" t="s">
        <v>7</v>
      </c>
      <c r="B2" s="14"/>
      <c r="C2" s="14"/>
      <c r="D2" s="14"/>
      <c r="E2" s="14"/>
    </row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</row>
    <row r="4" spans="1:5" x14ac:dyDescent="0.25">
      <c r="A4" s="4" t="str">
        <f t="shared" ref="A4:A26" si="0">CHOOSE(WEEKDAY(B4),"SUN","MON","TUE","WED","THU","FRI","SAT")</f>
        <v>TUE</v>
      </c>
      <c r="B4" s="5">
        <v>44166</v>
      </c>
      <c r="C4" s="7">
        <v>11099</v>
      </c>
      <c r="D4" s="7">
        <v>10765</v>
      </c>
      <c r="E4" s="6">
        <f>SUM(C4:D4)</f>
        <v>21864</v>
      </c>
    </row>
    <row r="5" spans="1:5" x14ac:dyDescent="0.25">
      <c r="A5" s="4" t="str">
        <f t="shared" si="0"/>
        <v>WED</v>
      </c>
      <c r="B5" s="5">
        <v>44167</v>
      </c>
      <c r="C5" s="7">
        <v>10632</v>
      </c>
      <c r="D5" s="7">
        <v>10480</v>
      </c>
      <c r="E5" s="6">
        <f t="shared" ref="E5:E26" si="1">SUM(C5:D5)</f>
        <v>21112</v>
      </c>
    </row>
    <row r="6" spans="1:5" x14ac:dyDescent="0.25">
      <c r="A6" s="4" t="str">
        <f t="shared" si="0"/>
        <v>THU</v>
      </c>
      <c r="B6" s="5">
        <v>44168</v>
      </c>
      <c r="C6" s="7">
        <v>10859</v>
      </c>
      <c r="D6" s="7">
        <v>10799</v>
      </c>
      <c r="E6" s="6">
        <f t="shared" si="1"/>
        <v>21658</v>
      </c>
    </row>
    <row r="7" spans="1:5" x14ac:dyDescent="0.25">
      <c r="A7" s="4" t="str">
        <f t="shared" si="0"/>
        <v>FRI</v>
      </c>
      <c r="B7" s="5">
        <v>44169</v>
      </c>
      <c r="C7" s="7">
        <v>10502</v>
      </c>
      <c r="D7" s="7">
        <v>10455</v>
      </c>
      <c r="E7" s="6">
        <f t="shared" si="1"/>
        <v>20957</v>
      </c>
    </row>
    <row r="8" spans="1:5" x14ac:dyDescent="0.25">
      <c r="A8" s="4" t="str">
        <f t="shared" si="0"/>
        <v>MON</v>
      </c>
      <c r="B8" s="5">
        <v>44172</v>
      </c>
      <c r="C8" s="7">
        <v>10407</v>
      </c>
      <c r="D8" s="7">
        <v>10320</v>
      </c>
      <c r="E8" s="6">
        <f t="shared" si="1"/>
        <v>20727</v>
      </c>
    </row>
    <row r="9" spans="1:5" x14ac:dyDescent="0.25">
      <c r="A9" s="4" t="str">
        <f t="shared" si="0"/>
        <v>TUE</v>
      </c>
      <c r="B9" s="5">
        <v>44173</v>
      </c>
      <c r="C9" s="7">
        <v>10510</v>
      </c>
      <c r="D9" s="7">
        <v>10444</v>
      </c>
      <c r="E9" s="6">
        <f t="shared" si="1"/>
        <v>20954</v>
      </c>
    </row>
    <row r="10" spans="1:5" x14ac:dyDescent="0.25">
      <c r="A10" s="4" t="str">
        <f t="shared" si="0"/>
        <v>WED</v>
      </c>
      <c r="B10" s="5">
        <v>44174</v>
      </c>
      <c r="C10" s="7">
        <v>10184</v>
      </c>
      <c r="D10" s="7">
        <v>9985</v>
      </c>
      <c r="E10" s="6">
        <f t="shared" si="1"/>
        <v>20169</v>
      </c>
    </row>
    <row r="11" spans="1:5" x14ac:dyDescent="0.25">
      <c r="A11" s="4" t="str">
        <f t="shared" si="0"/>
        <v>THU</v>
      </c>
      <c r="B11" s="5">
        <v>44175</v>
      </c>
      <c r="C11" s="7">
        <v>10837</v>
      </c>
      <c r="D11" s="7">
        <v>10747</v>
      </c>
      <c r="E11" s="6">
        <f t="shared" si="1"/>
        <v>21584</v>
      </c>
    </row>
    <row r="12" spans="1:5" x14ac:dyDescent="0.25">
      <c r="A12" s="4" t="str">
        <f t="shared" si="0"/>
        <v>FRI</v>
      </c>
      <c r="B12" s="5">
        <v>44176</v>
      </c>
      <c r="C12" s="7">
        <v>11335</v>
      </c>
      <c r="D12" s="7">
        <v>11385</v>
      </c>
      <c r="E12" s="6">
        <f t="shared" si="1"/>
        <v>22720</v>
      </c>
    </row>
    <row r="13" spans="1:5" x14ac:dyDescent="0.25">
      <c r="A13" s="4" t="str">
        <f t="shared" si="0"/>
        <v>MON</v>
      </c>
      <c r="B13" s="5">
        <v>44179</v>
      </c>
      <c r="C13" s="7">
        <v>9534</v>
      </c>
      <c r="D13" s="7">
        <v>9375</v>
      </c>
      <c r="E13" s="6">
        <f t="shared" si="1"/>
        <v>18909</v>
      </c>
    </row>
    <row r="14" spans="1:5" x14ac:dyDescent="0.25">
      <c r="A14" s="4" t="str">
        <f t="shared" si="0"/>
        <v>TUE</v>
      </c>
      <c r="B14" s="5">
        <v>44180</v>
      </c>
      <c r="C14" s="7">
        <v>10839</v>
      </c>
      <c r="D14" s="7">
        <v>10708</v>
      </c>
      <c r="E14" s="6">
        <f t="shared" si="1"/>
        <v>21547</v>
      </c>
    </row>
    <row r="15" spans="1:5" x14ac:dyDescent="0.25">
      <c r="A15" s="4" t="str">
        <f t="shared" si="0"/>
        <v>WED</v>
      </c>
      <c r="B15" s="5">
        <v>44181</v>
      </c>
      <c r="C15" s="7">
        <v>8774</v>
      </c>
      <c r="D15" s="7">
        <v>8868</v>
      </c>
      <c r="E15" s="6">
        <f t="shared" si="1"/>
        <v>17642</v>
      </c>
    </row>
    <row r="16" spans="1:5" x14ac:dyDescent="0.25">
      <c r="A16" s="4" t="str">
        <f t="shared" si="0"/>
        <v>THU</v>
      </c>
      <c r="B16" s="5">
        <v>44182</v>
      </c>
      <c r="C16" s="7">
        <v>5487</v>
      </c>
      <c r="D16" s="7">
        <v>4951</v>
      </c>
      <c r="E16" s="6">
        <f t="shared" si="1"/>
        <v>10438</v>
      </c>
    </row>
    <row r="17" spans="1:5" x14ac:dyDescent="0.25">
      <c r="A17" s="4" t="str">
        <f t="shared" si="0"/>
        <v>FRI</v>
      </c>
      <c r="B17" s="5">
        <v>44183</v>
      </c>
      <c r="C17" s="7">
        <v>10252</v>
      </c>
      <c r="D17" s="7">
        <v>10044</v>
      </c>
      <c r="E17" s="6">
        <f t="shared" si="1"/>
        <v>20296</v>
      </c>
    </row>
    <row r="18" spans="1:5" x14ac:dyDescent="0.25">
      <c r="A18" s="4" t="str">
        <f t="shared" si="0"/>
        <v>MON</v>
      </c>
      <c r="B18" s="5">
        <v>44186</v>
      </c>
      <c r="C18" s="7">
        <v>10746</v>
      </c>
      <c r="D18" s="7">
        <v>10674</v>
      </c>
      <c r="E18" s="6">
        <f t="shared" si="1"/>
        <v>21420</v>
      </c>
    </row>
    <row r="19" spans="1:5" x14ac:dyDescent="0.25">
      <c r="A19" s="4" t="str">
        <f t="shared" si="0"/>
        <v>TUE</v>
      </c>
      <c r="B19" s="5">
        <v>44187</v>
      </c>
      <c r="C19" s="7">
        <v>11226</v>
      </c>
      <c r="D19" s="7">
        <v>11193</v>
      </c>
      <c r="E19" s="6">
        <f t="shared" si="1"/>
        <v>22419</v>
      </c>
    </row>
    <row r="20" spans="1:5" x14ac:dyDescent="0.25">
      <c r="A20" s="4" t="str">
        <f t="shared" si="0"/>
        <v>WED</v>
      </c>
      <c r="B20" s="5">
        <v>44188</v>
      </c>
      <c r="C20" s="7">
        <v>11303</v>
      </c>
      <c r="D20" s="7">
        <v>11087</v>
      </c>
      <c r="E20" s="6">
        <f t="shared" si="1"/>
        <v>22390</v>
      </c>
    </row>
    <row r="21" spans="1:5" x14ac:dyDescent="0.25">
      <c r="A21" s="4" t="str">
        <f t="shared" si="0"/>
        <v>THU</v>
      </c>
      <c r="B21" s="5">
        <v>44189</v>
      </c>
      <c r="C21" s="7">
        <v>9102</v>
      </c>
      <c r="D21" s="7">
        <v>8739</v>
      </c>
      <c r="E21" s="6">
        <f t="shared" si="1"/>
        <v>17841</v>
      </c>
    </row>
    <row r="22" spans="1:5" x14ac:dyDescent="0.25">
      <c r="A22" s="4" t="str">
        <f t="shared" si="0"/>
        <v>FRI</v>
      </c>
      <c r="B22" s="5">
        <v>44190</v>
      </c>
      <c r="C22" s="7">
        <v>5238</v>
      </c>
      <c r="D22" s="7">
        <v>5086</v>
      </c>
      <c r="E22" s="6">
        <f t="shared" si="1"/>
        <v>10324</v>
      </c>
    </row>
    <row r="23" spans="1:5" x14ac:dyDescent="0.25">
      <c r="A23" s="4" t="str">
        <f t="shared" si="0"/>
        <v>MON</v>
      </c>
      <c r="B23" s="5">
        <v>44193</v>
      </c>
      <c r="C23" s="7">
        <v>11507</v>
      </c>
      <c r="D23" s="7">
        <v>11455</v>
      </c>
      <c r="E23" s="6">
        <f t="shared" si="1"/>
        <v>22962</v>
      </c>
    </row>
    <row r="24" spans="1:5" x14ac:dyDescent="0.25">
      <c r="A24" s="4" t="str">
        <f t="shared" si="0"/>
        <v>TUE</v>
      </c>
      <c r="B24" s="5">
        <v>44194</v>
      </c>
      <c r="C24" s="7">
        <v>11154</v>
      </c>
      <c r="D24" s="7">
        <v>10984</v>
      </c>
      <c r="E24" s="6">
        <f t="shared" si="1"/>
        <v>22138</v>
      </c>
    </row>
    <row r="25" spans="1:5" x14ac:dyDescent="0.25">
      <c r="A25" s="4" t="str">
        <f t="shared" si="0"/>
        <v>WED</v>
      </c>
      <c r="B25" s="5">
        <v>44195</v>
      </c>
      <c r="C25" s="7">
        <v>11443</v>
      </c>
      <c r="D25" s="7">
        <v>11318</v>
      </c>
      <c r="E25" s="6">
        <f t="shared" si="1"/>
        <v>22761</v>
      </c>
    </row>
    <row r="26" spans="1:5" x14ac:dyDescent="0.25">
      <c r="A26" s="4" t="str">
        <f t="shared" si="0"/>
        <v>THU</v>
      </c>
      <c r="B26" s="5">
        <v>44196</v>
      </c>
      <c r="C26" s="7">
        <v>9160</v>
      </c>
      <c r="D26" s="7">
        <v>9343</v>
      </c>
      <c r="E26" s="6">
        <f t="shared" si="1"/>
        <v>18503</v>
      </c>
    </row>
    <row r="27" spans="1:5" x14ac:dyDescent="0.25">
      <c r="A27" s="15" t="s">
        <v>5</v>
      </c>
      <c r="B27" s="15"/>
      <c r="C27" s="6">
        <f>SUM(C4:C26)</f>
        <v>232130</v>
      </c>
      <c r="D27" s="6">
        <f t="shared" ref="D27:E27" si="2">SUM(D4:D26)</f>
        <v>229205</v>
      </c>
      <c r="E27" s="6">
        <f t="shared" si="2"/>
        <v>461335</v>
      </c>
    </row>
    <row r="29" spans="1:5" x14ac:dyDescent="0.25">
      <c r="A29" s="15" t="s">
        <v>9</v>
      </c>
      <c r="B29" s="15"/>
      <c r="C29" s="15"/>
      <c r="D29" s="15"/>
      <c r="E29" s="6">
        <f>E27</f>
        <v>461335</v>
      </c>
    </row>
    <row r="30" spans="1:5" x14ac:dyDescent="0.25">
      <c r="A30" s="11"/>
      <c r="B30" s="11"/>
      <c r="C30" s="11"/>
      <c r="D30" s="11"/>
      <c r="E30" s="12"/>
    </row>
    <row r="31" spans="1:5" x14ac:dyDescent="0.25">
      <c r="A31" s="11"/>
      <c r="B31" s="11"/>
      <c r="C31" s="11"/>
      <c r="D31" s="11"/>
      <c r="E31" s="12"/>
    </row>
    <row r="34" spans="1:5" x14ac:dyDescent="0.25">
      <c r="A34" s="13" t="s">
        <v>8</v>
      </c>
      <c r="B34" s="14"/>
      <c r="C34" s="14"/>
      <c r="D34" s="14"/>
      <c r="E34" s="14"/>
    </row>
    <row r="35" spans="1:5" x14ac:dyDescent="0.25">
      <c r="A35" s="2" t="s">
        <v>0</v>
      </c>
      <c r="B35" s="2" t="s">
        <v>1</v>
      </c>
      <c r="C35" s="2" t="s">
        <v>2</v>
      </c>
      <c r="D35" s="2" t="s">
        <v>3</v>
      </c>
      <c r="E35" s="3" t="s">
        <v>4</v>
      </c>
    </row>
    <row r="36" spans="1:5" x14ac:dyDescent="0.25">
      <c r="A36" s="4" t="str">
        <f t="shared" ref="A36:A43" si="3">CHOOSE(WEEKDAY(B36),"SUN","MON","TUE","WED","THU","FRI","SAT")</f>
        <v>SAT</v>
      </c>
      <c r="B36" s="5">
        <v>44170</v>
      </c>
      <c r="C36" s="7">
        <v>6566</v>
      </c>
      <c r="D36" s="7">
        <v>6297</v>
      </c>
      <c r="E36" s="6">
        <f>C36+D36</f>
        <v>12863</v>
      </c>
    </row>
    <row r="37" spans="1:5" x14ac:dyDescent="0.25">
      <c r="A37" s="4" t="str">
        <f t="shared" si="3"/>
        <v>SUN</v>
      </c>
      <c r="B37" s="5">
        <v>44171</v>
      </c>
      <c r="C37" s="7">
        <v>6738</v>
      </c>
      <c r="D37" s="7">
        <v>6507</v>
      </c>
      <c r="E37" s="6">
        <f t="shared" ref="E37:E43" si="4">C37+D37</f>
        <v>13245</v>
      </c>
    </row>
    <row r="38" spans="1:5" x14ac:dyDescent="0.25">
      <c r="A38" s="4" t="str">
        <f t="shared" si="3"/>
        <v>SAT</v>
      </c>
      <c r="B38" s="5">
        <v>44177</v>
      </c>
      <c r="C38" s="7">
        <v>7645</v>
      </c>
      <c r="D38" s="7">
        <v>7768</v>
      </c>
      <c r="E38" s="6">
        <f t="shared" si="4"/>
        <v>15413</v>
      </c>
    </row>
    <row r="39" spans="1:5" x14ac:dyDescent="0.25">
      <c r="A39" s="4" t="str">
        <f t="shared" si="3"/>
        <v>SUN</v>
      </c>
      <c r="B39" s="5">
        <v>44178</v>
      </c>
      <c r="C39" s="7">
        <v>7807</v>
      </c>
      <c r="D39" s="7">
        <v>7418</v>
      </c>
      <c r="E39" s="6">
        <f t="shared" si="4"/>
        <v>15225</v>
      </c>
    </row>
    <row r="40" spans="1:5" x14ac:dyDescent="0.25">
      <c r="A40" s="4" t="str">
        <f t="shared" si="3"/>
        <v>SAT</v>
      </c>
      <c r="B40" s="5">
        <v>44184</v>
      </c>
      <c r="C40" s="7">
        <v>7536</v>
      </c>
      <c r="D40" s="7">
        <v>7318</v>
      </c>
      <c r="E40" s="6">
        <f t="shared" si="4"/>
        <v>14854</v>
      </c>
    </row>
    <row r="41" spans="1:5" x14ac:dyDescent="0.25">
      <c r="A41" s="4" t="str">
        <f t="shared" si="3"/>
        <v>SUN</v>
      </c>
      <c r="B41" s="5">
        <v>44185</v>
      </c>
      <c r="C41" s="7">
        <v>6070</v>
      </c>
      <c r="D41" s="7">
        <v>5932</v>
      </c>
      <c r="E41" s="6">
        <f t="shared" si="4"/>
        <v>12002</v>
      </c>
    </row>
    <row r="42" spans="1:5" x14ac:dyDescent="0.25">
      <c r="A42" s="4" t="str">
        <f t="shared" si="3"/>
        <v>SAT</v>
      </c>
      <c r="B42" s="5">
        <v>44191</v>
      </c>
      <c r="C42" s="7">
        <v>8177</v>
      </c>
      <c r="D42" s="7">
        <v>7941</v>
      </c>
      <c r="E42" s="6">
        <f t="shared" si="4"/>
        <v>16118</v>
      </c>
    </row>
    <row r="43" spans="1:5" x14ac:dyDescent="0.25">
      <c r="A43" s="4" t="str">
        <f t="shared" si="3"/>
        <v>SUN</v>
      </c>
      <c r="B43" s="5">
        <v>44192</v>
      </c>
      <c r="C43" s="7">
        <v>7483</v>
      </c>
      <c r="D43" s="7">
        <v>7425</v>
      </c>
      <c r="E43" s="6">
        <f t="shared" si="4"/>
        <v>14908</v>
      </c>
    </row>
    <row r="44" spans="1:5" x14ac:dyDescent="0.25">
      <c r="A44" s="17" t="s">
        <v>5</v>
      </c>
      <c r="B44" s="17"/>
      <c r="C44" s="10">
        <f>SUM(C36:C43)</f>
        <v>58022</v>
      </c>
      <c r="D44" s="10">
        <f t="shared" ref="D44:E44" si="5">SUM(D36:D43)</f>
        <v>56606</v>
      </c>
      <c r="E44" s="10">
        <f t="shared" si="5"/>
        <v>114628</v>
      </c>
    </row>
    <row r="46" spans="1:5" ht="14.4" x14ac:dyDescent="0.3">
      <c r="A46" s="16" t="s">
        <v>10</v>
      </c>
      <c r="B46" s="16"/>
      <c r="C46" s="16"/>
      <c r="D46" s="16"/>
      <c r="E46" s="8">
        <f>E44</f>
        <v>114628</v>
      </c>
    </row>
    <row r="47" spans="1:5" ht="14.4" x14ac:dyDescent="0.3">
      <c r="A47" s="16" t="s">
        <v>11</v>
      </c>
      <c r="B47" s="16"/>
      <c r="C47" s="16"/>
      <c r="D47" s="16"/>
      <c r="E47" s="8">
        <f>AVERAGE(E36,E38,E40,E42)</f>
        <v>14812</v>
      </c>
    </row>
    <row r="48" spans="1:5" ht="14.4" x14ac:dyDescent="0.3">
      <c r="A48" s="16" t="s">
        <v>12</v>
      </c>
      <c r="B48" s="16"/>
      <c r="C48" s="16"/>
      <c r="D48" s="16"/>
      <c r="E48" s="8">
        <f>AVERAGE(,E37,E39,E41,E43)</f>
        <v>11076</v>
      </c>
    </row>
  </sheetData>
  <mergeCells count="8">
    <mergeCell ref="A47:D47"/>
    <mergeCell ref="A48:D48"/>
    <mergeCell ref="A2:E2"/>
    <mergeCell ref="A27:B27"/>
    <mergeCell ref="A29:D29"/>
    <mergeCell ref="A34:E34"/>
    <mergeCell ref="A44:B44"/>
    <mergeCell ref="A46:D46"/>
  </mergeCells>
  <pageMargins left="0.7" right="0.7" top="0.75" bottom="0.75" header="0.3" footer="0.3"/>
  <ignoredErrors>
    <ignoredError sqref="E4:E2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3CFFEEE-2F4B-4780-8A0D-F4E18CC88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0CB60-5134-44C1-B798-3DE1A9091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4FAFAE-9FD0-4D63-BC0F-91596B03694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2021-01-07T19:51:48Z</dcterms:created>
  <dcterms:modified xsi:type="dcterms:W3CDTF">2026-04-07T23:55:00Z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