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Edited SIFMonthlyRidership_2017_to_2025/"/>
    </mc:Choice>
  </mc:AlternateContent>
  <xr:revisionPtr revIDLastSave="0" documentId="8_{36C96B6D-02B0-43F5-9DB4-E5EC9E03AF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" sheetId="1" r:id="rId1"/>
    <sheet name="WEEKDAY - 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" l="1"/>
  <c r="E22" i="2"/>
  <c r="F22" i="2"/>
  <c r="F37" i="2" l="1"/>
  <c r="F38" i="2"/>
  <c r="F39" i="2"/>
  <c r="F40" i="2"/>
  <c r="F41" i="2"/>
  <c r="F42" i="2"/>
  <c r="F43" i="2"/>
  <c r="F36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3" i="2"/>
  <c r="F24" i="2"/>
  <c r="F25" i="2"/>
  <c r="F4" i="2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6" i="1"/>
  <c r="D36" i="1"/>
  <c r="C3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  <c r="E37" i="2"/>
  <c r="E38" i="2"/>
  <c r="E39" i="2"/>
  <c r="E40" i="2"/>
  <c r="E41" i="2"/>
  <c r="E43" i="2"/>
  <c r="E36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3" i="2"/>
  <c r="E24" i="2"/>
  <c r="E25" i="2"/>
  <c r="E4" i="2"/>
  <c r="D26" i="2"/>
  <c r="C26" i="2"/>
  <c r="D44" i="2"/>
  <c r="C44" i="2"/>
  <c r="A36" i="2"/>
  <c r="A37" i="2"/>
  <c r="A38" i="2"/>
  <c r="A39" i="2"/>
  <c r="A40" i="2"/>
  <c r="A41" i="2"/>
  <c r="A42" i="2"/>
  <c r="A4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6" i="1"/>
  <c r="E36" i="1" l="1"/>
  <c r="E40" i="1" s="1"/>
  <c r="E47" i="2"/>
  <c r="E29" i="2"/>
  <c r="E46" i="2"/>
  <c r="E44" i="2"/>
  <c r="E26" i="2"/>
  <c r="E28" i="2" s="1"/>
</calcChain>
</file>

<file path=xl/sharedStrings.xml><?xml version="1.0" encoding="utf-8"?>
<sst xmlns="http://schemas.openxmlformats.org/spreadsheetml/2006/main" count="27" uniqueCount="17">
  <si>
    <t>Day</t>
  </si>
  <si>
    <t>Date</t>
  </si>
  <si>
    <t>WHT</t>
  </si>
  <si>
    <t>STG</t>
  </si>
  <si>
    <t>COMBINED TOTAL</t>
  </si>
  <si>
    <t>APRIL 2020 WEEKDAY TOTALS</t>
  </si>
  <si>
    <t>TOTALS:</t>
  </si>
  <si>
    <t>TOTAL RIDERSHIP</t>
  </si>
  <si>
    <t>DAY</t>
  </si>
  <si>
    <t>DATE</t>
  </si>
  <si>
    <t>APRIL 2020 WEEKEND TOTALS</t>
  </si>
  <si>
    <t>TOTALS</t>
  </si>
  <si>
    <t>Average Passengers/Weekday</t>
  </si>
  <si>
    <t>Total Weekday Pax Count April 2020:</t>
  </si>
  <si>
    <t xml:space="preserve">Average Saturday Passengers: </t>
  </si>
  <si>
    <t xml:space="preserve">Average Sunday Passengers: 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</si>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</sst>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b/>
      <sz val="11"/>
      <color theme="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4" fontId="3" fillId="6" borderId="9" xfId="1" applyNumberFormat="1" applyFont="1" applyFill="1" applyBorder="1" applyAlignment="1">
      <alignment horizontal="center"/>
    </xf>
    <xf numFmtId="164" fontId="3" fillId="6" borderId="12" xfId="1" applyNumberFormat="1" applyFont="1" applyFill="1" applyBorder="1" applyAlignment="1">
      <alignment horizontal="center"/>
    </xf>
    <xf numFmtId="37" fontId="4" fillId="7" borderId="9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7" xfId="0" applyFont="1" applyFill="1" applyBorder="1"/>
    <xf numFmtId="0" fontId="2" fillId="6" borderId="1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8" xfId="0" applyFont="1" applyFill="1" applyBorder="1"/>
    <xf numFmtId="0" fontId="3" fillId="8" borderId="18" xfId="0" applyFont="1" applyFill="1" applyBorder="1"/>
    <xf numFmtId="164" fontId="3" fillId="8" borderId="19" xfId="1" applyNumberFormat="1" applyFont="1" applyFill="1" applyBorder="1"/>
    <xf numFmtId="164" fontId="3" fillId="8" borderId="20" xfId="1" applyNumberFormat="1" applyFont="1" applyFill="1" applyBorder="1"/>
    <xf numFmtId="164" fontId="2" fillId="0" borderId="1" xfId="1" applyNumberFormat="1" applyFont="1" applyBorder="1" applyAlignment="1">
      <alignment horizontal="center"/>
    </xf>
    <xf numFmtId="164" fontId="2" fillId="0" borderId="17" xfId="1" applyNumberFormat="1" applyFont="1" applyBorder="1" applyAlignment="1">
      <alignment horizontal="center"/>
    </xf>
    <xf numFmtId="164" fontId="2" fillId="0" borderId="13" xfId="1" applyNumberFormat="1" applyFont="1" applyBorder="1" applyAlignment="1">
      <alignment horizontal="center"/>
    </xf>
    <xf numFmtId="164" fontId="2" fillId="0" borderId="21" xfId="1" applyNumberFormat="1" applyFont="1" applyBorder="1" applyAlignment="1">
      <alignment horizontal="center"/>
    </xf>
    <xf numFmtId="164" fontId="3" fillId="6" borderId="8" xfId="1" applyNumberFormat="1" applyFont="1" applyFill="1" applyBorder="1" applyAlignment="1">
      <alignment horizontal="center"/>
    </xf>
    <xf numFmtId="164" fontId="3" fillId="6" borderId="19" xfId="1" applyNumberFormat="1" applyFont="1" applyFill="1" applyBorder="1" applyAlignment="1">
      <alignment horizontal="center"/>
    </xf>
    <xf numFmtId="164" fontId="3" fillId="6" borderId="20" xfId="1" applyNumberFormat="1" applyFont="1" applyFill="1" applyBorder="1" applyAlignment="1">
      <alignment horizontal="center"/>
    </xf>
    <xf numFmtId="0" fontId="3" fillId="8" borderId="7" xfId="0" applyFont="1" applyFill="1" applyBorder="1"/>
    <xf numFmtId="0" fontId="3" fillId="8" borderId="8" xfId="0" applyFont="1" applyFill="1" applyBorder="1"/>
    <xf numFmtId="0" fontId="3" fillId="8" borderId="9" xfId="0" applyFont="1" applyFill="1" applyBorder="1"/>
    <xf numFmtId="16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1" fontId="4" fillId="7" borderId="7" xfId="0" applyNumberFormat="1" applyFont="1" applyFill="1" applyBorder="1" applyAlignment="1">
      <alignment horizontal="right"/>
    </xf>
    <xf numFmtId="41" fontId="4" fillId="7" borderId="8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164" fontId="3" fillId="6" borderId="0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40"/>
  <sheetViews>
    <sheetView tabSelected="1" workbookViewId="0">
      <selection activeCell="A5" sqref="A5"/>
    </sheetView>
  </sheetViews>
  <sheetFormatPr defaultColWidth="9.109375" defaultRowHeight="13.8" x14ac:dyDescent="0.25"/>
  <cols>
    <col min="1" max="5" width="12.6640625" style="1" customWidth="1"/>
    <col min="6" max="6" width="0" style="1" hidden="1" customWidth="1"/>
    <col min="7" max="8" width="9.109375" style="1"/>
    <col min="9" max="9" width="11" style="1" bestFit="1" customWidth="1"/>
    <col min="10" max="16384" width="9.109375" style="1"/>
  </cols>
  <sheetData>
    <row r="4" spans="1:6" x14ac:dyDescent="0.25">
      <c r="A4" s="36">
        <v>43941</v>
      </c>
      <c r="B4" s="37"/>
      <c r="C4" s="37"/>
      <c r="D4" s="37"/>
      <c r="E4" s="37"/>
    </row>
    <row r="5" spans="1:6" s="2" customFormat="1" ht="27.6" x14ac:dyDescent="0.3">
      <c r="A5" s="5" t="s">
        <v>0</v>
      </c>
      <c r="B5" s="5" t="s">
        <v>1</v>
      </c>
      <c r="C5" s="5" t="s">
        <v>2</v>
      </c>
      <c r="D5" s="5" t="s">
        <v>3</v>
      </c>
      <c r="E5" s="6" t="s">
        <v>4</v>
      </c>
      <c r="F5" s="2" t="s">
        <v>16</v>
      </c>
    </row>
    <row r="6" spans="1:6" x14ac:dyDescent="0.25">
      <c r="A6" s="17" t="str">
        <f t="shared" ref="A6:A35" si="0">CHOOSE(WEEKDAY(B6),"SUN","MON","TUE","WED","THU","FRI","SAT")</f>
        <v>WED</v>
      </c>
      <c r="B6" s="4">
        <v>43922</v>
      </c>
      <c r="C6" s="26">
        <v>4273</v>
      </c>
      <c r="D6" s="26">
        <v>4167</v>
      </c>
      <c r="E6" s="26">
        <f>SUM(C6:D6)</f>
        <v>8440</v>
      </c>
      <c r="F6" s="1">
        <f>C6-D6</f>
        <v>106</v>
      </c>
    </row>
    <row r="7" spans="1:6" x14ac:dyDescent="0.25">
      <c r="A7" s="17" t="str">
        <f t="shared" si="0"/>
        <v>THU</v>
      </c>
      <c r="B7" s="4">
        <v>43923</v>
      </c>
      <c r="C7" s="26">
        <v>4125</v>
      </c>
      <c r="D7" s="26">
        <v>3916</v>
      </c>
      <c r="E7" s="26">
        <f t="shared" ref="E7:E35" si="1">SUM(C7:D7)</f>
        <v>8041</v>
      </c>
      <c r="F7" s="1">
        <f t="shared" ref="F7:F35" si="2">C7-D7</f>
        <v>209</v>
      </c>
    </row>
    <row r="8" spans="1:6" x14ac:dyDescent="0.25">
      <c r="A8" s="17" t="str">
        <f t="shared" si="0"/>
        <v>FRI</v>
      </c>
      <c r="B8" s="4">
        <v>43924</v>
      </c>
      <c r="C8" s="26">
        <v>3981</v>
      </c>
      <c r="D8" s="26">
        <v>3821</v>
      </c>
      <c r="E8" s="26">
        <f t="shared" si="1"/>
        <v>7802</v>
      </c>
      <c r="F8" s="1">
        <f t="shared" si="2"/>
        <v>160</v>
      </c>
    </row>
    <row r="9" spans="1:6" x14ac:dyDescent="0.25">
      <c r="A9" s="17" t="str">
        <f t="shared" si="0"/>
        <v>SAT</v>
      </c>
      <c r="B9" s="4">
        <v>43925</v>
      </c>
      <c r="C9" s="26">
        <v>2545</v>
      </c>
      <c r="D9" s="26">
        <v>2317</v>
      </c>
      <c r="E9" s="26">
        <f t="shared" si="1"/>
        <v>4862</v>
      </c>
      <c r="F9" s="1">
        <f t="shared" si="2"/>
        <v>228</v>
      </c>
    </row>
    <row r="10" spans="1:6" x14ac:dyDescent="0.25">
      <c r="A10" s="17" t="str">
        <f t="shared" si="0"/>
        <v>SUN</v>
      </c>
      <c r="B10" s="4">
        <v>43926</v>
      </c>
      <c r="C10" s="26">
        <v>2259</v>
      </c>
      <c r="D10" s="26">
        <v>2034</v>
      </c>
      <c r="E10" s="26">
        <f t="shared" si="1"/>
        <v>4293</v>
      </c>
      <c r="F10" s="1">
        <f t="shared" si="2"/>
        <v>225</v>
      </c>
    </row>
    <row r="11" spans="1:6" x14ac:dyDescent="0.25">
      <c r="A11" s="17" t="str">
        <f t="shared" si="0"/>
        <v>MON</v>
      </c>
      <c r="B11" s="4">
        <v>43927</v>
      </c>
      <c r="C11" s="26">
        <v>3724</v>
      </c>
      <c r="D11" s="26">
        <v>3626</v>
      </c>
      <c r="E11" s="26">
        <f t="shared" si="1"/>
        <v>7350</v>
      </c>
      <c r="F11" s="1">
        <f t="shared" si="2"/>
        <v>98</v>
      </c>
    </row>
    <row r="12" spans="1:6" x14ac:dyDescent="0.25">
      <c r="A12" s="17" t="str">
        <f t="shared" si="0"/>
        <v>TUE</v>
      </c>
      <c r="B12" s="4">
        <v>43928</v>
      </c>
      <c r="C12" s="26">
        <v>3653</v>
      </c>
      <c r="D12" s="26">
        <v>3469</v>
      </c>
      <c r="E12" s="26">
        <f t="shared" si="1"/>
        <v>7122</v>
      </c>
      <c r="F12" s="1">
        <f t="shared" si="2"/>
        <v>184</v>
      </c>
    </row>
    <row r="13" spans="1:6" x14ac:dyDescent="0.25">
      <c r="A13" s="17" t="str">
        <f t="shared" si="0"/>
        <v>WED</v>
      </c>
      <c r="B13" s="4">
        <v>43929</v>
      </c>
      <c r="C13" s="26">
        <v>2767</v>
      </c>
      <c r="D13" s="26">
        <v>3478</v>
      </c>
      <c r="E13" s="26">
        <f t="shared" si="1"/>
        <v>6245</v>
      </c>
      <c r="F13" s="1">
        <f t="shared" si="2"/>
        <v>-711</v>
      </c>
    </row>
    <row r="14" spans="1:6" x14ac:dyDescent="0.25">
      <c r="A14" s="17" t="str">
        <f t="shared" si="0"/>
        <v>THU</v>
      </c>
      <c r="B14" s="4">
        <v>43930</v>
      </c>
      <c r="C14" s="26">
        <v>2300</v>
      </c>
      <c r="D14" s="26">
        <v>3256</v>
      </c>
      <c r="E14" s="26">
        <f t="shared" si="1"/>
        <v>5556</v>
      </c>
      <c r="F14" s="1">
        <f t="shared" si="2"/>
        <v>-956</v>
      </c>
    </row>
    <row r="15" spans="1:6" x14ac:dyDescent="0.25">
      <c r="A15" s="17" t="str">
        <f t="shared" si="0"/>
        <v>FRI</v>
      </c>
      <c r="B15" s="4">
        <v>43931</v>
      </c>
      <c r="C15" s="26">
        <v>2171</v>
      </c>
      <c r="D15" s="26">
        <v>3298</v>
      </c>
      <c r="E15" s="26">
        <f t="shared" si="1"/>
        <v>5469</v>
      </c>
      <c r="F15" s="1">
        <f t="shared" si="2"/>
        <v>-1127</v>
      </c>
    </row>
    <row r="16" spans="1:6" x14ac:dyDescent="0.25">
      <c r="A16" s="17" t="str">
        <f t="shared" si="0"/>
        <v>SAT</v>
      </c>
      <c r="B16" s="4">
        <v>43932</v>
      </c>
      <c r="C16" s="26">
        <v>1659</v>
      </c>
      <c r="D16" s="26">
        <v>2453</v>
      </c>
      <c r="E16" s="26">
        <f t="shared" si="1"/>
        <v>4112</v>
      </c>
      <c r="F16" s="1">
        <f t="shared" si="2"/>
        <v>-794</v>
      </c>
    </row>
    <row r="17" spans="1:6" x14ac:dyDescent="0.25">
      <c r="A17" s="17" t="str">
        <f t="shared" si="0"/>
        <v>SUN</v>
      </c>
      <c r="B17" s="4">
        <v>43933</v>
      </c>
      <c r="C17" s="26">
        <v>1494</v>
      </c>
      <c r="D17" s="26">
        <v>2078</v>
      </c>
      <c r="E17" s="26">
        <f t="shared" si="1"/>
        <v>3572</v>
      </c>
      <c r="F17" s="1">
        <f t="shared" si="2"/>
        <v>-584</v>
      </c>
    </row>
    <row r="18" spans="1:6" x14ac:dyDescent="0.25">
      <c r="A18" s="17" t="str">
        <f t="shared" si="0"/>
        <v>MON</v>
      </c>
      <c r="B18" s="4">
        <v>43934</v>
      </c>
      <c r="C18" s="26">
        <v>2209</v>
      </c>
      <c r="D18" s="26">
        <v>3049</v>
      </c>
      <c r="E18" s="26">
        <f t="shared" si="1"/>
        <v>5258</v>
      </c>
      <c r="F18" s="1">
        <f t="shared" si="2"/>
        <v>-840</v>
      </c>
    </row>
    <row r="19" spans="1:6" x14ac:dyDescent="0.25">
      <c r="A19" s="17" t="str">
        <f t="shared" si="0"/>
        <v>TUE</v>
      </c>
      <c r="B19" s="4">
        <v>43935</v>
      </c>
      <c r="C19" s="26">
        <v>2593</v>
      </c>
      <c r="D19" s="26">
        <v>3691</v>
      </c>
      <c r="E19" s="26">
        <f t="shared" si="1"/>
        <v>6284</v>
      </c>
      <c r="F19" s="1">
        <f t="shared" si="2"/>
        <v>-1098</v>
      </c>
    </row>
    <row r="20" spans="1:6" x14ac:dyDescent="0.25">
      <c r="A20" s="17" t="str">
        <f t="shared" si="0"/>
        <v>WED</v>
      </c>
      <c r="B20" s="4">
        <v>43936</v>
      </c>
      <c r="C20" s="26">
        <v>2761</v>
      </c>
      <c r="D20" s="26">
        <v>3649</v>
      </c>
      <c r="E20" s="26">
        <f t="shared" si="1"/>
        <v>6410</v>
      </c>
      <c r="F20" s="1">
        <f t="shared" si="2"/>
        <v>-888</v>
      </c>
    </row>
    <row r="21" spans="1:6" x14ac:dyDescent="0.25">
      <c r="A21" s="17" t="str">
        <f t="shared" si="0"/>
        <v>THU</v>
      </c>
      <c r="B21" s="4">
        <v>43937</v>
      </c>
      <c r="C21" s="26">
        <v>2794</v>
      </c>
      <c r="D21" s="26">
        <v>3696</v>
      </c>
      <c r="E21" s="26">
        <f t="shared" si="1"/>
        <v>6490</v>
      </c>
      <c r="F21" s="1">
        <f t="shared" si="2"/>
        <v>-902</v>
      </c>
    </row>
    <row r="22" spans="1:6" x14ac:dyDescent="0.25">
      <c r="A22" s="17" t="str">
        <f t="shared" si="0"/>
        <v>FRI</v>
      </c>
      <c r="B22" s="4">
        <v>43938</v>
      </c>
      <c r="C22" s="26">
        <v>2780</v>
      </c>
      <c r="D22" s="26">
        <v>3709</v>
      </c>
      <c r="E22" s="26">
        <f t="shared" si="1"/>
        <v>6489</v>
      </c>
      <c r="F22" s="1">
        <f t="shared" si="2"/>
        <v>-929</v>
      </c>
    </row>
    <row r="23" spans="1:6" x14ac:dyDescent="0.25">
      <c r="A23" s="17" t="str">
        <f t="shared" si="0"/>
        <v>SAT</v>
      </c>
      <c r="B23" s="4">
        <v>43939</v>
      </c>
      <c r="C23" s="26">
        <v>1700</v>
      </c>
      <c r="D23" s="26">
        <v>2307</v>
      </c>
      <c r="E23" s="26">
        <f t="shared" si="1"/>
        <v>4007</v>
      </c>
      <c r="F23" s="1">
        <f t="shared" si="2"/>
        <v>-607</v>
      </c>
    </row>
    <row r="24" spans="1:6" x14ac:dyDescent="0.25">
      <c r="A24" s="17" t="str">
        <f t="shared" si="0"/>
        <v>SUN</v>
      </c>
      <c r="B24" s="4">
        <v>43940</v>
      </c>
      <c r="C24" s="26">
        <v>1769</v>
      </c>
      <c r="D24" s="26">
        <v>2263</v>
      </c>
      <c r="E24" s="26">
        <f t="shared" si="1"/>
        <v>4032</v>
      </c>
      <c r="F24" s="1">
        <f t="shared" si="2"/>
        <v>-494</v>
      </c>
    </row>
    <row r="25" spans="1:6" x14ac:dyDescent="0.25">
      <c r="A25" s="17" t="str">
        <f t="shared" si="0"/>
        <v>MON</v>
      </c>
      <c r="B25" s="4">
        <v>43941</v>
      </c>
      <c r="C25" s="26">
        <v>2696</v>
      </c>
      <c r="D25" s="26">
        <v>3805</v>
      </c>
      <c r="E25" s="26">
        <f t="shared" si="1"/>
        <v>6501</v>
      </c>
      <c r="F25" s="1">
        <f t="shared" si="2"/>
        <v>-1109</v>
      </c>
    </row>
    <row r="26" spans="1:6" x14ac:dyDescent="0.25">
      <c r="A26" s="17" t="str">
        <f t="shared" si="0"/>
        <v>TUE</v>
      </c>
      <c r="B26" s="4">
        <v>43942</v>
      </c>
      <c r="C26" s="26">
        <v>2585</v>
      </c>
      <c r="D26" s="26">
        <v>3396</v>
      </c>
      <c r="E26" s="26">
        <f t="shared" si="1"/>
        <v>5981</v>
      </c>
      <c r="F26" s="1">
        <f t="shared" si="2"/>
        <v>-811</v>
      </c>
    </row>
    <row r="27" spans="1:6" x14ac:dyDescent="0.25">
      <c r="A27" s="17" t="str">
        <f t="shared" si="0"/>
        <v>WED</v>
      </c>
      <c r="B27" s="4">
        <v>43943</v>
      </c>
      <c r="C27" s="26">
        <v>2965</v>
      </c>
      <c r="D27" s="26">
        <v>3853</v>
      </c>
      <c r="E27" s="26">
        <f t="shared" si="1"/>
        <v>6818</v>
      </c>
      <c r="F27" s="1">
        <f t="shared" si="2"/>
        <v>-888</v>
      </c>
    </row>
    <row r="28" spans="1:6" x14ac:dyDescent="0.25">
      <c r="A28" s="17" t="str">
        <f t="shared" si="0"/>
        <v>THU</v>
      </c>
      <c r="B28" s="4">
        <v>43944</v>
      </c>
      <c r="C28" s="26">
        <v>2619</v>
      </c>
      <c r="D28" s="26">
        <v>3743</v>
      </c>
      <c r="E28" s="26">
        <f t="shared" si="1"/>
        <v>6362</v>
      </c>
      <c r="F28" s="1">
        <f t="shared" si="2"/>
        <v>-1124</v>
      </c>
    </row>
    <row r="29" spans="1:6" x14ac:dyDescent="0.25">
      <c r="A29" s="17" t="str">
        <f t="shared" si="0"/>
        <v>FRI</v>
      </c>
      <c r="B29" s="4">
        <v>43945</v>
      </c>
      <c r="C29" s="26">
        <v>2790</v>
      </c>
      <c r="D29" s="26">
        <v>3602</v>
      </c>
      <c r="E29" s="26">
        <f t="shared" si="1"/>
        <v>6392</v>
      </c>
      <c r="F29" s="1">
        <f t="shared" si="2"/>
        <v>-812</v>
      </c>
    </row>
    <row r="30" spans="1:6" x14ac:dyDescent="0.25">
      <c r="A30" s="17" t="str">
        <f t="shared" si="0"/>
        <v>SAT</v>
      </c>
      <c r="B30" s="4">
        <v>43946</v>
      </c>
      <c r="C30" s="26">
        <v>2354</v>
      </c>
      <c r="D30" s="26">
        <v>2959</v>
      </c>
      <c r="E30" s="26">
        <f t="shared" si="1"/>
        <v>5313</v>
      </c>
      <c r="F30" s="1">
        <f t="shared" si="2"/>
        <v>-605</v>
      </c>
    </row>
    <row r="31" spans="1:6" x14ac:dyDescent="0.25">
      <c r="A31" s="17" t="str">
        <f t="shared" si="0"/>
        <v>SUN</v>
      </c>
      <c r="B31" s="4">
        <v>43947</v>
      </c>
      <c r="C31" s="26">
        <v>1656</v>
      </c>
      <c r="D31" s="26">
        <v>2078</v>
      </c>
      <c r="E31" s="26">
        <f t="shared" si="1"/>
        <v>3734</v>
      </c>
      <c r="F31" s="1">
        <f t="shared" si="2"/>
        <v>-422</v>
      </c>
    </row>
    <row r="32" spans="1:6" x14ac:dyDescent="0.25">
      <c r="A32" s="17" t="str">
        <f t="shared" si="0"/>
        <v>MON</v>
      </c>
      <c r="B32" s="4">
        <v>43948</v>
      </c>
      <c r="C32" s="26">
        <v>2879</v>
      </c>
      <c r="D32" s="26">
        <v>3820</v>
      </c>
      <c r="E32" s="26">
        <f t="shared" si="1"/>
        <v>6699</v>
      </c>
      <c r="F32" s="1">
        <f t="shared" si="2"/>
        <v>-941</v>
      </c>
    </row>
    <row r="33" spans="1:6" x14ac:dyDescent="0.25">
      <c r="A33" s="17" t="str">
        <f t="shared" si="0"/>
        <v>TUE</v>
      </c>
      <c r="B33" s="4">
        <v>43949</v>
      </c>
      <c r="C33" s="26">
        <v>3279</v>
      </c>
      <c r="D33" s="26">
        <v>4120</v>
      </c>
      <c r="E33" s="26">
        <f t="shared" si="1"/>
        <v>7399</v>
      </c>
      <c r="F33" s="1">
        <f t="shared" si="2"/>
        <v>-841</v>
      </c>
    </row>
    <row r="34" spans="1:6" x14ac:dyDescent="0.25">
      <c r="A34" s="17" t="str">
        <f t="shared" si="0"/>
        <v>WED</v>
      </c>
      <c r="B34" s="4">
        <v>43950</v>
      </c>
      <c r="C34" s="26">
        <v>3128</v>
      </c>
      <c r="D34" s="26">
        <v>3993</v>
      </c>
      <c r="E34" s="26">
        <f t="shared" si="1"/>
        <v>7121</v>
      </c>
      <c r="F34" s="1">
        <f t="shared" si="2"/>
        <v>-865</v>
      </c>
    </row>
    <row r="35" spans="1:6" ht="14.4" thickBot="1" x14ac:dyDescent="0.3">
      <c r="A35" s="17" t="str">
        <f t="shared" si="0"/>
        <v>THU</v>
      </c>
      <c r="B35" s="15">
        <v>43951</v>
      </c>
      <c r="C35" s="27">
        <v>2836</v>
      </c>
      <c r="D35" s="27">
        <v>3640</v>
      </c>
      <c r="E35" s="27">
        <f t="shared" si="1"/>
        <v>6476</v>
      </c>
      <c r="F35" s="1">
        <f t="shared" si="2"/>
        <v>-804</v>
      </c>
    </row>
    <row r="36" spans="1:6" ht="14.4" thickBot="1" x14ac:dyDescent="0.3">
      <c r="B36" s="23" t="s">
        <v>6</v>
      </c>
      <c r="C36" s="24">
        <f>SUM(C6:C35)</f>
        <v>81344</v>
      </c>
      <c r="D36" s="24">
        <f>SUM(D6:D35)</f>
        <v>99286</v>
      </c>
      <c r="E36" s="25">
        <f>SUM(E6:E35)</f>
        <v>180630</v>
      </c>
    </row>
    <row r="39" spans="1:6" ht="14.4" thickBot="1" x14ac:dyDescent="0.3"/>
    <row r="40" spans="1:6" ht="14.4" thickBot="1" x14ac:dyDescent="0.3">
      <c r="B40" s="33" t="s">
        <v>7</v>
      </c>
      <c r="C40" s="34"/>
      <c r="D40" s="34"/>
      <c r="E40" s="35">
        <f>E36</f>
        <v>180630</v>
      </c>
    </row>
  </sheetData>
  <mergeCells count="1">
    <mergeCell ref="A4:E4"/>
  </mergeCells>
  <pageMargins left="0.7" right="0.7" top="0.75" bottom="0.75" header="0.3" footer="0.3"/>
  <ignoredErrors>
    <ignoredError sqref="E6:E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workbookViewId="0"/>
  </sheetViews>
  <sheetFormatPr defaultColWidth="12.6640625" defaultRowHeight="13.8" x14ac:dyDescent="0.25"/>
  <cols>
    <col min="1" max="2" width="12.6640625" style="1"/>
    <col min="3" max="4" width="12.88671875" style="1" bestFit="1" customWidth="1"/>
    <col min="5" max="5" width="13.109375" style="1" bestFit="1" customWidth="1"/>
    <col min="6" max="6" width="0" style="3" hidden="1" customWidth="1"/>
    <col min="7" max="16384" width="12.6640625" style="1"/>
  </cols>
  <sheetData>
    <row r="1" spans="1:11" ht="14.4" thickBot="1" x14ac:dyDescent="0.3"/>
    <row r="2" spans="1:11" x14ac:dyDescent="0.25">
      <c r="A2" s="40" t="s">
        <v>5</v>
      </c>
      <c r="B2" s="41"/>
      <c r="C2" s="41"/>
      <c r="D2" s="41"/>
      <c r="E2" s="42"/>
    </row>
    <row r="3" spans="1:11" ht="27.6" x14ac:dyDescent="0.25">
      <c r="A3" s="9" t="s">
        <v>8</v>
      </c>
      <c r="B3" s="8" t="s">
        <v>9</v>
      </c>
      <c r="C3" s="8" t="s">
        <v>2</v>
      </c>
      <c r="D3" s="8" t="s">
        <v>3</v>
      </c>
      <c r="E3" s="13" t="s">
        <v>4</v>
      </c>
      <c r="F3" s="3" t="s">
        <v>16</v>
      </c>
    </row>
    <row r="4" spans="1:11" x14ac:dyDescent="0.25">
      <c r="A4" s="19" t="str">
        <f t="shared" ref="A4:A25" si="0">CHOOSE(WEEKDAY(B4),"SUN","MON","TUE","WED","THU","FRI","SAT")</f>
        <v>WED</v>
      </c>
      <c r="B4" s="7">
        <v>43922</v>
      </c>
      <c r="C4" s="26">
        <v>4273</v>
      </c>
      <c r="D4" s="26">
        <v>4167</v>
      </c>
      <c r="E4" s="28">
        <f>SUM(C4:D4)</f>
        <v>8440</v>
      </c>
      <c r="F4" s="3">
        <f>C4-D4</f>
        <v>106</v>
      </c>
      <c r="H4" s="3"/>
      <c r="I4" s="16"/>
      <c r="J4" s="3"/>
      <c r="K4" s="3"/>
    </row>
    <row r="5" spans="1:11" x14ac:dyDescent="0.25">
      <c r="A5" s="20" t="str">
        <f t="shared" si="0"/>
        <v>THU</v>
      </c>
      <c r="B5" s="4">
        <v>43923</v>
      </c>
      <c r="C5" s="26">
        <v>4125</v>
      </c>
      <c r="D5" s="26">
        <v>3916</v>
      </c>
      <c r="E5" s="28">
        <f t="shared" ref="E5:E25" si="1">SUM(C5:D5)</f>
        <v>8041</v>
      </c>
      <c r="F5" s="3">
        <f t="shared" ref="F5:F25" si="2">C5-D5</f>
        <v>209</v>
      </c>
      <c r="H5" s="3"/>
      <c r="I5" s="16"/>
      <c r="J5" s="3"/>
      <c r="K5" s="3"/>
    </row>
    <row r="6" spans="1:11" x14ac:dyDescent="0.25">
      <c r="A6" s="20" t="str">
        <f t="shared" si="0"/>
        <v>FRI</v>
      </c>
      <c r="B6" s="4">
        <v>43924</v>
      </c>
      <c r="C6" s="26">
        <v>3981</v>
      </c>
      <c r="D6" s="26">
        <v>3821</v>
      </c>
      <c r="E6" s="28">
        <f t="shared" si="1"/>
        <v>7802</v>
      </c>
      <c r="F6" s="3">
        <f t="shared" si="2"/>
        <v>160</v>
      </c>
      <c r="H6" s="3"/>
      <c r="I6" s="16"/>
      <c r="J6" s="3"/>
      <c r="K6" s="3"/>
    </row>
    <row r="7" spans="1:11" x14ac:dyDescent="0.25">
      <c r="A7" s="20" t="str">
        <f t="shared" si="0"/>
        <v>MON</v>
      </c>
      <c r="B7" s="4">
        <v>43927</v>
      </c>
      <c r="C7" s="26">
        <v>3724</v>
      </c>
      <c r="D7" s="26">
        <v>3626</v>
      </c>
      <c r="E7" s="28">
        <f t="shared" si="1"/>
        <v>7350</v>
      </c>
      <c r="F7" s="3">
        <f t="shared" si="2"/>
        <v>98</v>
      </c>
      <c r="H7" s="3"/>
      <c r="I7" s="16"/>
      <c r="J7" s="3"/>
      <c r="K7" s="3"/>
    </row>
    <row r="8" spans="1:11" x14ac:dyDescent="0.25">
      <c r="A8" s="20" t="str">
        <f t="shared" si="0"/>
        <v>TUE</v>
      </c>
      <c r="B8" s="4">
        <v>43928</v>
      </c>
      <c r="C8" s="26">
        <v>3653</v>
      </c>
      <c r="D8" s="26">
        <v>3469</v>
      </c>
      <c r="E8" s="28">
        <f t="shared" si="1"/>
        <v>7122</v>
      </c>
      <c r="F8" s="3">
        <f t="shared" si="2"/>
        <v>184</v>
      </c>
      <c r="H8" s="3"/>
      <c r="I8" s="16"/>
      <c r="J8" s="3"/>
      <c r="K8" s="3"/>
    </row>
    <row r="9" spans="1:11" x14ac:dyDescent="0.25">
      <c r="A9" s="20" t="str">
        <f t="shared" si="0"/>
        <v>WED</v>
      </c>
      <c r="B9" s="4">
        <v>43929</v>
      </c>
      <c r="C9" s="26">
        <v>2767</v>
      </c>
      <c r="D9" s="26">
        <v>3478</v>
      </c>
      <c r="E9" s="28">
        <f t="shared" si="1"/>
        <v>6245</v>
      </c>
      <c r="F9" s="3">
        <f t="shared" si="2"/>
        <v>-711</v>
      </c>
      <c r="H9" s="3"/>
      <c r="I9" s="16"/>
      <c r="J9" s="3"/>
      <c r="K9" s="3"/>
    </row>
    <row r="10" spans="1:11" x14ac:dyDescent="0.25">
      <c r="A10" s="20" t="str">
        <f t="shared" si="0"/>
        <v>THU</v>
      </c>
      <c r="B10" s="4">
        <v>43930</v>
      </c>
      <c r="C10" s="26">
        <v>2300</v>
      </c>
      <c r="D10" s="26">
        <v>3256</v>
      </c>
      <c r="E10" s="28">
        <f t="shared" si="1"/>
        <v>5556</v>
      </c>
      <c r="F10" s="3">
        <f t="shared" si="2"/>
        <v>-956</v>
      </c>
      <c r="H10" s="3"/>
      <c r="I10" s="16"/>
      <c r="J10" s="3"/>
      <c r="K10" s="3"/>
    </row>
    <row r="11" spans="1:11" x14ac:dyDescent="0.25">
      <c r="A11" s="20" t="str">
        <f t="shared" si="0"/>
        <v>FRI</v>
      </c>
      <c r="B11" s="4">
        <v>43931</v>
      </c>
      <c r="C11" s="26">
        <v>2171</v>
      </c>
      <c r="D11" s="26">
        <v>3298</v>
      </c>
      <c r="E11" s="28">
        <f t="shared" si="1"/>
        <v>5469</v>
      </c>
      <c r="F11" s="3">
        <f t="shared" si="2"/>
        <v>-1127</v>
      </c>
      <c r="H11" s="3"/>
      <c r="I11" s="16"/>
      <c r="J11" s="3"/>
      <c r="K11" s="3"/>
    </row>
    <row r="12" spans="1:11" x14ac:dyDescent="0.25">
      <c r="A12" s="20" t="str">
        <f t="shared" si="0"/>
        <v>MON</v>
      </c>
      <c r="B12" s="4">
        <v>43934</v>
      </c>
      <c r="C12" s="26">
        <v>2209</v>
      </c>
      <c r="D12" s="26">
        <v>3049</v>
      </c>
      <c r="E12" s="28">
        <f t="shared" si="1"/>
        <v>5258</v>
      </c>
      <c r="F12" s="3">
        <f t="shared" si="2"/>
        <v>-840</v>
      </c>
      <c r="H12" s="3"/>
      <c r="I12" s="16"/>
      <c r="J12" s="3"/>
      <c r="K12" s="3"/>
    </row>
    <row r="13" spans="1:11" x14ac:dyDescent="0.25">
      <c r="A13" s="20" t="str">
        <f t="shared" si="0"/>
        <v>TUE</v>
      </c>
      <c r="B13" s="4">
        <v>43935</v>
      </c>
      <c r="C13" s="26">
        <v>2593</v>
      </c>
      <c r="D13" s="26">
        <v>3691</v>
      </c>
      <c r="E13" s="28">
        <f t="shared" si="1"/>
        <v>6284</v>
      </c>
      <c r="F13" s="3">
        <f t="shared" si="2"/>
        <v>-1098</v>
      </c>
      <c r="H13" s="3"/>
      <c r="I13" s="16"/>
      <c r="J13" s="3"/>
      <c r="K13" s="3"/>
    </row>
    <row r="14" spans="1:11" x14ac:dyDescent="0.25">
      <c r="A14" s="20" t="str">
        <f t="shared" si="0"/>
        <v>WED</v>
      </c>
      <c r="B14" s="4">
        <v>43936</v>
      </c>
      <c r="C14" s="26">
        <v>2761</v>
      </c>
      <c r="D14" s="26">
        <v>3649</v>
      </c>
      <c r="E14" s="28">
        <f t="shared" si="1"/>
        <v>6410</v>
      </c>
      <c r="F14" s="3">
        <f t="shared" si="2"/>
        <v>-888</v>
      </c>
      <c r="H14" s="3"/>
      <c r="I14" s="16"/>
      <c r="J14" s="3"/>
      <c r="K14" s="3"/>
    </row>
    <row r="15" spans="1:11" x14ac:dyDescent="0.25">
      <c r="A15" s="20" t="str">
        <f t="shared" si="0"/>
        <v>THU</v>
      </c>
      <c r="B15" s="4">
        <v>43937</v>
      </c>
      <c r="C15" s="26">
        <v>2794</v>
      </c>
      <c r="D15" s="26">
        <v>3696</v>
      </c>
      <c r="E15" s="28">
        <f t="shared" si="1"/>
        <v>6490</v>
      </c>
      <c r="F15" s="3">
        <f t="shared" si="2"/>
        <v>-902</v>
      </c>
      <c r="H15" s="3"/>
      <c r="I15" s="16"/>
      <c r="J15" s="3"/>
      <c r="K15" s="3"/>
    </row>
    <row r="16" spans="1:11" x14ac:dyDescent="0.25">
      <c r="A16" s="20" t="str">
        <f t="shared" si="0"/>
        <v>FRI</v>
      </c>
      <c r="B16" s="4">
        <v>43938</v>
      </c>
      <c r="C16" s="26">
        <v>2780</v>
      </c>
      <c r="D16" s="26">
        <v>3709</v>
      </c>
      <c r="E16" s="28">
        <f t="shared" si="1"/>
        <v>6489</v>
      </c>
      <c r="F16" s="3">
        <f t="shared" si="2"/>
        <v>-929</v>
      </c>
      <c r="H16" s="3"/>
      <c r="I16" s="16"/>
      <c r="J16" s="3"/>
      <c r="K16" s="3"/>
    </row>
    <row r="17" spans="1:11" x14ac:dyDescent="0.25">
      <c r="A17" s="20" t="str">
        <f t="shared" si="0"/>
        <v>MON</v>
      </c>
      <c r="B17" s="4">
        <v>43941</v>
      </c>
      <c r="C17" s="26">
        <v>2696</v>
      </c>
      <c r="D17" s="26">
        <v>3805</v>
      </c>
      <c r="E17" s="28">
        <f t="shared" si="1"/>
        <v>6501</v>
      </c>
      <c r="F17" s="3">
        <f t="shared" si="2"/>
        <v>-1109</v>
      </c>
      <c r="H17" s="3"/>
      <c r="I17" s="16"/>
      <c r="J17" s="3"/>
      <c r="K17" s="3"/>
    </row>
    <row r="18" spans="1:11" x14ac:dyDescent="0.25">
      <c r="A18" s="20" t="str">
        <f t="shared" si="0"/>
        <v>TUE</v>
      </c>
      <c r="B18" s="4">
        <v>43942</v>
      </c>
      <c r="C18" s="26">
        <v>2585</v>
      </c>
      <c r="D18" s="26">
        <v>3396</v>
      </c>
      <c r="E18" s="28">
        <f t="shared" si="1"/>
        <v>5981</v>
      </c>
      <c r="F18" s="3">
        <f t="shared" si="2"/>
        <v>-811</v>
      </c>
      <c r="H18" s="3"/>
      <c r="I18" s="16"/>
      <c r="J18" s="3"/>
      <c r="K18" s="3"/>
    </row>
    <row r="19" spans="1:11" x14ac:dyDescent="0.25">
      <c r="A19" s="20" t="str">
        <f t="shared" si="0"/>
        <v>WED</v>
      </c>
      <c r="B19" s="4">
        <v>43943</v>
      </c>
      <c r="C19" s="26">
        <v>2965</v>
      </c>
      <c r="D19" s="26">
        <v>3853</v>
      </c>
      <c r="E19" s="28">
        <f t="shared" si="1"/>
        <v>6818</v>
      </c>
      <c r="F19" s="3">
        <f t="shared" si="2"/>
        <v>-888</v>
      </c>
      <c r="H19" s="3"/>
      <c r="I19" s="16"/>
      <c r="J19" s="3"/>
      <c r="K19" s="3"/>
    </row>
    <row r="20" spans="1:11" x14ac:dyDescent="0.25">
      <c r="A20" s="20" t="str">
        <f t="shared" si="0"/>
        <v>THU</v>
      </c>
      <c r="B20" s="4">
        <v>43944</v>
      </c>
      <c r="C20" s="26">
        <v>2619</v>
      </c>
      <c r="D20" s="26">
        <v>3743</v>
      </c>
      <c r="E20" s="28">
        <f t="shared" si="1"/>
        <v>6362</v>
      </c>
      <c r="F20" s="3">
        <f t="shared" si="2"/>
        <v>-1124</v>
      </c>
      <c r="H20" s="3"/>
      <c r="I20" s="16"/>
      <c r="J20" s="3"/>
      <c r="K20" s="3"/>
    </row>
    <row r="21" spans="1:11" x14ac:dyDescent="0.25">
      <c r="A21" s="20" t="str">
        <f t="shared" si="0"/>
        <v>FRI</v>
      </c>
      <c r="B21" s="4">
        <v>43945</v>
      </c>
      <c r="C21" s="26">
        <v>2790</v>
      </c>
      <c r="D21" s="26">
        <v>3602</v>
      </c>
      <c r="E21" s="28">
        <f t="shared" si="1"/>
        <v>6392</v>
      </c>
      <c r="F21" s="3">
        <f t="shared" si="2"/>
        <v>-812</v>
      </c>
      <c r="H21" s="3"/>
      <c r="I21" s="16"/>
      <c r="J21" s="3"/>
      <c r="K21" s="3"/>
    </row>
    <row r="22" spans="1:11" x14ac:dyDescent="0.25">
      <c r="A22" s="20" t="str">
        <f t="shared" si="0"/>
        <v>MON</v>
      </c>
      <c r="B22" s="4">
        <v>43948</v>
      </c>
      <c r="C22" s="26">
        <v>2879</v>
      </c>
      <c r="D22" s="26">
        <v>3820</v>
      </c>
      <c r="E22" s="28">
        <f t="shared" si="1"/>
        <v>6699</v>
      </c>
      <c r="F22" s="3">
        <f t="shared" si="2"/>
        <v>-941</v>
      </c>
      <c r="H22" s="3"/>
      <c r="I22" s="16"/>
      <c r="J22" s="3"/>
      <c r="K22" s="3"/>
    </row>
    <row r="23" spans="1:11" x14ac:dyDescent="0.25">
      <c r="A23" s="20" t="str">
        <f t="shared" si="0"/>
        <v>TUE</v>
      </c>
      <c r="B23" s="4">
        <v>43949</v>
      </c>
      <c r="C23" s="26">
        <v>3279</v>
      </c>
      <c r="D23" s="26">
        <v>4120</v>
      </c>
      <c r="E23" s="28">
        <f t="shared" si="1"/>
        <v>7399</v>
      </c>
      <c r="F23" s="3">
        <f t="shared" si="2"/>
        <v>-841</v>
      </c>
      <c r="H23" s="3"/>
      <c r="I23" s="16"/>
      <c r="J23" s="3"/>
      <c r="K23" s="3"/>
    </row>
    <row r="24" spans="1:11" x14ac:dyDescent="0.25">
      <c r="A24" s="20" t="str">
        <f t="shared" si="0"/>
        <v>WED</v>
      </c>
      <c r="B24" s="4">
        <v>43950</v>
      </c>
      <c r="C24" s="26">
        <v>3128</v>
      </c>
      <c r="D24" s="26">
        <v>3993</v>
      </c>
      <c r="E24" s="28">
        <f t="shared" si="1"/>
        <v>7121</v>
      </c>
      <c r="F24" s="3">
        <f t="shared" si="2"/>
        <v>-865</v>
      </c>
      <c r="H24" s="3"/>
      <c r="I24" s="16"/>
      <c r="J24" s="3"/>
      <c r="K24" s="3"/>
    </row>
    <row r="25" spans="1:11" ht="14.4" thickBot="1" x14ac:dyDescent="0.3">
      <c r="A25" s="21" t="str">
        <f t="shared" si="0"/>
        <v>THU</v>
      </c>
      <c r="B25" s="15">
        <v>43951</v>
      </c>
      <c r="C25" s="27">
        <v>2836</v>
      </c>
      <c r="D25" s="27">
        <v>3640</v>
      </c>
      <c r="E25" s="29">
        <f t="shared" si="1"/>
        <v>6476</v>
      </c>
      <c r="F25" s="3">
        <f t="shared" si="2"/>
        <v>-804</v>
      </c>
      <c r="H25" s="3"/>
      <c r="I25" s="16"/>
      <c r="J25" s="3"/>
      <c r="K25" s="3"/>
    </row>
    <row r="26" spans="1:11" ht="14.4" thickBot="1" x14ac:dyDescent="0.3">
      <c r="B26" s="18" t="s">
        <v>11</v>
      </c>
      <c r="C26" s="30">
        <f>SUM(C4:C25)</f>
        <v>65908</v>
      </c>
      <c r="D26" s="30">
        <f>SUM(D4:D25)</f>
        <v>80797</v>
      </c>
      <c r="E26" s="10">
        <f>SUM(E4:E25)</f>
        <v>146705</v>
      </c>
      <c r="H26" s="3"/>
      <c r="I26" s="16"/>
      <c r="J26" s="3"/>
      <c r="K26" s="3"/>
    </row>
    <row r="27" spans="1:11" ht="14.4" thickBot="1" x14ac:dyDescent="0.3">
      <c r="I27" s="16"/>
      <c r="J27" s="3"/>
      <c r="K27" s="3"/>
    </row>
    <row r="28" spans="1:11" ht="14.4" thickBot="1" x14ac:dyDescent="0.3">
      <c r="A28" s="43" t="s">
        <v>13</v>
      </c>
      <c r="B28" s="44"/>
      <c r="C28" s="44"/>
      <c r="D28" s="44"/>
      <c r="E28" s="10">
        <f>E26</f>
        <v>146705</v>
      </c>
      <c r="I28" s="16"/>
      <c r="J28" s="3"/>
      <c r="K28" s="3"/>
    </row>
    <row r="29" spans="1:11" ht="14.4" thickBot="1" x14ac:dyDescent="0.3">
      <c r="A29" s="45" t="s">
        <v>12</v>
      </c>
      <c r="B29" s="46"/>
      <c r="C29" s="46"/>
      <c r="D29" s="46"/>
      <c r="E29" s="11">
        <f>AVERAGE(E4:E25)</f>
        <v>6668.409090909091</v>
      </c>
      <c r="I29" s="16"/>
      <c r="J29" s="3"/>
      <c r="K29" s="3"/>
    </row>
    <row r="30" spans="1:11" x14ac:dyDescent="0.25">
      <c r="A30" s="47"/>
      <c r="B30" s="47"/>
      <c r="C30" s="47"/>
      <c r="D30" s="47"/>
      <c r="E30" s="48"/>
      <c r="I30" s="16"/>
      <c r="J30" s="3"/>
      <c r="K30" s="3"/>
    </row>
    <row r="31" spans="1:11" x14ac:dyDescent="0.25">
      <c r="A31" s="47"/>
      <c r="B31" s="47"/>
      <c r="C31" s="47"/>
      <c r="D31" s="47"/>
      <c r="E31" s="48"/>
      <c r="I31" s="16"/>
      <c r="J31" s="3"/>
      <c r="K31" s="3"/>
    </row>
    <row r="32" spans="1:11" x14ac:dyDescent="0.25">
      <c r="I32" s="16"/>
      <c r="J32" s="3"/>
      <c r="K32" s="3"/>
    </row>
    <row r="33" spans="1:11" ht="14.4" thickBot="1" x14ac:dyDescent="0.3">
      <c r="I33" s="16"/>
      <c r="J33" s="3"/>
      <c r="K33" s="3"/>
    </row>
    <row r="34" spans="1:11" x14ac:dyDescent="0.25">
      <c r="A34" s="40" t="s">
        <v>10</v>
      </c>
      <c r="B34" s="41"/>
      <c r="C34" s="41"/>
      <c r="D34" s="41"/>
      <c r="E34" s="42"/>
      <c r="I34" s="16"/>
      <c r="J34" s="3"/>
      <c r="K34" s="3"/>
    </row>
    <row r="35" spans="1:11" ht="27.6" x14ac:dyDescent="0.25">
      <c r="A35" s="9" t="s">
        <v>8</v>
      </c>
      <c r="B35" s="9" t="s">
        <v>9</v>
      </c>
      <c r="C35" s="9" t="s">
        <v>2</v>
      </c>
      <c r="D35" s="9" t="s">
        <v>3</v>
      </c>
      <c r="E35" s="14" t="s">
        <v>4</v>
      </c>
      <c r="I35" s="16"/>
      <c r="J35" s="3"/>
      <c r="K35" s="3"/>
    </row>
    <row r="36" spans="1:11" x14ac:dyDescent="0.25">
      <c r="A36" s="20" t="str">
        <f t="shared" ref="A36:A43" si="3">CHOOSE(WEEKDAY(B36),"SUN","MON","TUE","WED","THU","FRI","SAT")</f>
        <v>SAT</v>
      </c>
      <c r="B36" s="4">
        <v>43925</v>
      </c>
      <c r="C36" s="26">
        <v>2545</v>
      </c>
      <c r="D36" s="26">
        <v>2317</v>
      </c>
      <c r="E36" s="28">
        <f>SUM(C36:D36)</f>
        <v>4862</v>
      </c>
      <c r="F36" s="3">
        <f>C36-D36</f>
        <v>228</v>
      </c>
    </row>
    <row r="37" spans="1:11" x14ac:dyDescent="0.25">
      <c r="A37" s="20" t="str">
        <f t="shared" si="3"/>
        <v>SUN</v>
      </c>
      <c r="B37" s="4">
        <v>43926</v>
      </c>
      <c r="C37" s="26">
        <v>2259</v>
      </c>
      <c r="D37" s="26">
        <v>2034</v>
      </c>
      <c r="E37" s="28">
        <f t="shared" ref="E37:E43" si="4">SUM(C37:D37)</f>
        <v>4293</v>
      </c>
      <c r="F37" s="3">
        <f t="shared" ref="F37:F43" si="5">C37-D37</f>
        <v>225</v>
      </c>
    </row>
    <row r="38" spans="1:11" x14ac:dyDescent="0.25">
      <c r="A38" s="20" t="str">
        <f t="shared" si="3"/>
        <v>SAT</v>
      </c>
      <c r="B38" s="4">
        <v>43932</v>
      </c>
      <c r="C38" s="26">
        <v>1659</v>
      </c>
      <c r="D38" s="26">
        <v>2453</v>
      </c>
      <c r="E38" s="28">
        <f t="shared" si="4"/>
        <v>4112</v>
      </c>
      <c r="F38" s="3">
        <f t="shared" si="5"/>
        <v>-794</v>
      </c>
    </row>
    <row r="39" spans="1:11" x14ac:dyDescent="0.25">
      <c r="A39" s="20" t="str">
        <f t="shared" si="3"/>
        <v>SUN</v>
      </c>
      <c r="B39" s="4">
        <v>43933</v>
      </c>
      <c r="C39" s="26">
        <v>1494</v>
      </c>
      <c r="D39" s="26">
        <v>2078</v>
      </c>
      <c r="E39" s="28">
        <f t="shared" si="4"/>
        <v>3572</v>
      </c>
      <c r="F39" s="3">
        <f t="shared" si="5"/>
        <v>-584</v>
      </c>
    </row>
    <row r="40" spans="1:11" x14ac:dyDescent="0.25">
      <c r="A40" s="20" t="str">
        <f t="shared" si="3"/>
        <v>SAT</v>
      </c>
      <c r="B40" s="4">
        <v>43939</v>
      </c>
      <c r="C40" s="26">
        <v>1700</v>
      </c>
      <c r="D40" s="26">
        <v>2307</v>
      </c>
      <c r="E40" s="28">
        <f t="shared" si="4"/>
        <v>4007</v>
      </c>
      <c r="F40" s="3">
        <f t="shared" si="5"/>
        <v>-607</v>
      </c>
    </row>
    <row r="41" spans="1:11" x14ac:dyDescent="0.25">
      <c r="A41" s="20" t="str">
        <f t="shared" si="3"/>
        <v>SUN</v>
      </c>
      <c r="B41" s="4">
        <v>43940</v>
      </c>
      <c r="C41" s="26">
        <v>1769</v>
      </c>
      <c r="D41" s="26">
        <v>2263</v>
      </c>
      <c r="E41" s="28">
        <f t="shared" si="4"/>
        <v>4032</v>
      </c>
      <c r="F41" s="3">
        <f t="shared" si="5"/>
        <v>-494</v>
      </c>
    </row>
    <row r="42" spans="1:11" x14ac:dyDescent="0.25">
      <c r="A42" s="20" t="str">
        <f t="shared" si="3"/>
        <v>SAT</v>
      </c>
      <c r="B42" s="4">
        <v>43946</v>
      </c>
      <c r="C42" s="26">
        <v>2354</v>
      </c>
      <c r="D42" s="26">
        <v>2959</v>
      </c>
      <c r="E42" s="28">
        <f t="shared" si="4"/>
        <v>5313</v>
      </c>
      <c r="F42" s="3">
        <f t="shared" si="5"/>
        <v>-605</v>
      </c>
    </row>
    <row r="43" spans="1:11" ht="14.4" thickBot="1" x14ac:dyDescent="0.3">
      <c r="A43" s="21" t="str">
        <f t="shared" si="3"/>
        <v>SUN</v>
      </c>
      <c r="B43" s="15">
        <v>43947</v>
      </c>
      <c r="C43" s="27">
        <v>1656</v>
      </c>
      <c r="D43" s="27">
        <v>2078</v>
      </c>
      <c r="E43" s="29">
        <f t="shared" si="4"/>
        <v>3734</v>
      </c>
      <c r="F43" s="3">
        <f t="shared" si="5"/>
        <v>-422</v>
      </c>
    </row>
    <row r="44" spans="1:11" ht="14.4" thickBot="1" x14ac:dyDescent="0.3">
      <c r="B44" s="22" t="s">
        <v>11</v>
      </c>
      <c r="C44" s="31">
        <f>SUM(C36:C43)</f>
        <v>15436</v>
      </c>
      <c r="D44" s="31">
        <f>SUM(D36:D43)</f>
        <v>18489</v>
      </c>
      <c r="E44" s="32">
        <f>SUM(E36:E43)</f>
        <v>33925</v>
      </c>
    </row>
    <row r="45" spans="1:11" ht="14.4" thickBot="1" x14ac:dyDescent="0.3"/>
    <row r="46" spans="1:11" ht="14.4" thickBot="1" x14ac:dyDescent="0.3">
      <c r="A46" s="38" t="s">
        <v>14</v>
      </c>
      <c r="B46" s="39"/>
      <c r="C46" s="39"/>
      <c r="D46" s="39"/>
      <c r="E46" s="12">
        <f>AVERAGE(E36,E38,E40,E42)</f>
        <v>4573.5</v>
      </c>
    </row>
    <row r="47" spans="1:11" ht="14.4" thickBot="1" x14ac:dyDescent="0.3">
      <c r="A47" s="38" t="s">
        <v>15</v>
      </c>
      <c r="B47" s="39"/>
      <c r="C47" s="39"/>
      <c r="D47" s="39"/>
      <c r="E47" s="12">
        <f>AVERAGE(,E37,E39,E41,E43)</f>
        <v>3126.2</v>
      </c>
    </row>
  </sheetData>
  <mergeCells count="6">
    <mergeCell ref="A47:D47"/>
    <mergeCell ref="A2:E2"/>
    <mergeCell ref="A34:E34"/>
    <mergeCell ref="A28:D28"/>
    <mergeCell ref="A29:D29"/>
    <mergeCell ref="A46:D46"/>
  </mergeCells>
  <pageMargins left="0.7" right="0.7" top="0.75" bottom="0.75" header="0.3" footer="0.3"/>
  <ignoredErrors>
    <ignoredError sqref="E4:E25 E36:E4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148954-89B6-424B-B73F-7A23DC129F2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FCB7E4D-9021-4988-8ED0-234CE30D3A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5D010F-5716-4862-96C7-1205954791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 - 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2020-04-24T14:22:29Z</dcterms:created>
  <dcterms:modified xsi:type="dcterms:W3CDTF">2026-04-07T21:06:10Z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