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0" documentId="8_{7000DCFA-DEB2-44EE-B551-677E04EEC4CA}" xr6:coauthVersionLast="47" xr6:coauthVersionMax="47" xr10:uidLastSave="{00000000-0000-0000-0000-000000000000}"/>
  <bookViews>
    <workbookView xWindow="-108" yWindow="-108" windowWidth="23256" windowHeight="13896" xr2:uid="{6E144048-7779-494B-A969-2D50100B9C99}"/>
  </bookViews>
  <sheets>
    <sheet name="TOTALS" sheetId="1" r:id="rId1"/>
    <sheet name="Weekday - 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2" l="1"/>
  <c r="E45" i="2"/>
  <c r="E25" i="2"/>
  <c r="E23" i="2"/>
  <c r="E22" i="2"/>
  <c r="E21" i="2"/>
  <c r="E43" i="2"/>
  <c r="E19" i="2"/>
  <c r="E18" i="2"/>
  <c r="E17" i="2"/>
  <c r="E16" i="2"/>
  <c r="E15" i="2"/>
  <c r="E42" i="2"/>
  <c r="E14" i="2"/>
  <c r="E12" i="2"/>
  <c r="E40" i="2"/>
  <c r="E39" i="2"/>
  <c r="E9" i="2"/>
  <c r="E9" i="1"/>
  <c r="E10" i="1"/>
  <c r="E11" i="1"/>
  <c r="E8" i="1"/>
  <c r="E6" i="2"/>
  <c r="E7" i="2"/>
  <c r="E11" i="2"/>
  <c r="E20" i="2"/>
  <c r="E24" i="2"/>
  <c r="E5" i="2"/>
  <c r="A46" i="2"/>
  <c r="A45" i="2"/>
  <c r="E44" i="2"/>
  <c r="A44" i="2"/>
  <c r="A43" i="2"/>
  <c r="A42" i="2"/>
  <c r="A41" i="2"/>
  <c r="A40" i="2"/>
  <c r="A39" i="2"/>
  <c r="A38" i="2"/>
  <c r="A37" i="2"/>
  <c r="A7" i="1"/>
  <c r="D39" i="1"/>
  <c r="C39" i="1"/>
  <c r="B8" i="1"/>
  <c r="B9" i="1" s="1"/>
  <c r="C26" i="2" l="1"/>
  <c r="D47" i="2"/>
  <c r="E52" i="2"/>
  <c r="E41" i="2"/>
  <c r="E47" i="2" s="1"/>
  <c r="E49" i="2" s="1"/>
  <c r="D26" i="2"/>
  <c r="E13" i="2"/>
  <c r="E10" i="2"/>
  <c r="C47" i="2"/>
  <c r="E8" i="2"/>
  <c r="E39" i="1"/>
  <c r="E41" i="1" s="1"/>
  <c r="B10" i="1"/>
  <c r="A9" i="1"/>
  <c r="A8" i="1"/>
  <c r="E29" i="2" l="1"/>
  <c r="E51" i="2"/>
  <c r="E26" i="2"/>
  <c r="E28" i="2" s="1"/>
  <c r="A10" i="1"/>
  <c r="B11" i="1"/>
  <c r="B12" i="1" l="1"/>
  <c r="A11" i="1"/>
  <c r="A12" i="1" l="1"/>
  <c r="B13" i="1"/>
  <c r="A13" i="1" l="1"/>
  <c r="B14" i="1"/>
  <c r="B15" i="1" l="1"/>
  <c r="A14" i="1"/>
  <c r="A15" i="1" l="1"/>
  <c r="B16" i="1"/>
  <c r="B17" i="1" l="1"/>
  <c r="A16" i="1"/>
  <c r="B18" i="1" l="1"/>
  <c r="A17" i="1"/>
  <c r="B19" i="1" l="1"/>
  <c r="A18" i="1"/>
  <c r="A19" i="1" l="1"/>
  <c r="B20" i="1"/>
  <c r="B21" i="1" l="1"/>
  <c r="A20" i="1"/>
  <c r="A21" i="1" l="1"/>
  <c r="B22" i="1"/>
  <c r="A22" i="1" l="1"/>
  <c r="B23" i="1"/>
  <c r="A23" i="1" l="1"/>
  <c r="B24" i="1"/>
  <c r="A24" i="1" l="1"/>
  <c r="B25" i="1"/>
  <c r="B26" i="1" l="1"/>
  <c r="A25" i="1"/>
  <c r="B27" i="1" l="1"/>
  <c r="A26" i="1"/>
  <c r="B28" i="1" l="1"/>
  <c r="A27" i="1"/>
  <c r="A28" i="1" l="1"/>
  <c r="B29" i="1"/>
  <c r="A29" i="1" l="1"/>
  <c r="B30" i="1"/>
  <c r="A30" i="1" l="1"/>
  <c r="B31" i="1"/>
  <c r="B32" i="1" l="1"/>
  <c r="A31" i="1"/>
  <c r="A32" i="1" l="1"/>
  <c r="B33" i="1"/>
  <c r="A33" i="1" l="1"/>
  <c r="B34" i="1"/>
  <c r="A34" i="1" l="1"/>
  <c r="B35" i="1"/>
  <c r="A35" i="1" l="1"/>
  <c r="B36" i="1"/>
  <c r="B37" i="1" s="1"/>
  <c r="B38" i="1" l="1"/>
  <c r="A37" i="1"/>
  <c r="A36" i="1"/>
  <c r="A38" i="1"/>
</calcChain>
</file>

<file path=xl/sharedStrings.xml><?xml version="1.0" encoding="utf-8"?>
<sst xmlns="http://schemas.openxmlformats.org/spreadsheetml/2006/main" count="48" uniqueCount="20">
  <si>
    <t>Day</t>
  </si>
  <si>
    <t>Date</t>
  </si>
  <si>
    <t>WHT</t>
  </si>
  <si>
    <t>STG</t>
  </si>
  <si>
    <t>Combined TOTAL</t>
  </si>
  <si>
    <t>TOTALS:</t>
  </si>
  <si>
    <t xml:space="preserve">PASSENGER COUNT TOTAL:  </t>
  </si>
  <si>
    <t xml:space="preserve">      July 2023 Staten Island Ferry Ridership</t>
  </si>
  <si>
    <t>MON</t>
  </si>
  <si>
    <t>WED</t>
  </si>
  <si>
    <t>THU</t>
  </si>
  <si>
    <t>FRI</t>
  </si>
  <si>
    <t xml:space="preserve">Average Passengers/Weekday: </t>
  </si>
  <si>
    <t xml:space="preserve">Average Saturday Passengers: </t>
  </si>
  <si>
    <t xml:space="preserve">Average Sunday Passengers: </t>
  </si>
  <si>
    <t xml:space="preserve">July 2023:  WEEKDAY TOTALS </t>
  </si>
  <si>
    <t xml:space="preserve">July 2023:  WEEKEND TOTALS </t>
  </si>
  <si>
    <t xml:space="preserve">Total Weekday Pax Count July 2023: </t>
  </si>
  <si>
    <t xml:space="preserve">Total Weekend Pax Count July 2023: 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</si>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</sst>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  <font>
      <sz val="8"/>
      <name val="Calibri"/>
      <family val="2"/>
      <scheme val="minor"/>
    </font>
    <font>
      <i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4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164" fontId="2" fillId="0" borderId="0" xfId="1" applyNumberFormat="1" applyFont="1"/>
    <xf numFmtId="0" fontId="2" fillId="4" borderId="4" xfId="0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41" fontId="3" fillId="5" borderId="9" xfId="0" applyNumberFormat="1" applyFont="1" applyFill="1" applyBorder="1" applyAlignment="1">
      <alignment horizontal="center"/>
    </xf>
    <xf numFmtId="41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right"/>
    </xf>
    <xf numFmtId="41" fontId="3" fillId="0" borderId="0" xfId="0" applyNumberFormat="1" applyFont="1" applyAlignment="1">
      <alignment horizontal="center"/>
    </xf>
    <xf numFmtId="37" fontId="3" fillId="0" borderId="0" xfId="0" applyNumberFormat="1" applyFont="1" applyAlignment="1">
      <alignment horizontal="center"/>
    </xf>
    <xf numFmtId="41" fontId="3" fillId="5" borderId="12" xfId="0" applyNumberFormat="1" applyFont="1" applyFill="1" applyBorder="1" applyAlignment="1">
      <alignment horizontal="center"/>
    </xf>
    <xf numFmtId="14" fontId="2" fillId="0" borderId="4" xfId="0" applyNumberFormat="1" applyFont="1" applyBorder="1"/>
    <xf numFmtId="41" fontId="3" fillId="5" borderId="4" xfId="0" applyNumberFormat="1" applyFont="1" applyFill="1" applyBorder="1" applyAlignment="1">
      <alignment horizontal="center"/>
    </xf>
    <xf numFmtId="37" fontId="3" fillId="5" borderId="4" xfId="0" applyNumberFormat="1" applyFont="1" applyFill="1" applyBorder="1" applyAlignment="1">
      <alignment horizontal="right"/>
    </xf>
    <xf numFmtId="37" fontId="3" fillId="5" borderId="4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14" fontId="2" fillId="4" borderId="4" xfId="0" applyNumberFormat="1" applyFont="1" applyFill="1" applyBorder="1"/>
    <xf numFmtId="0" fontId="8" fillId="0" borderId="0" xfId="0" applyFont="1" applyAlignment="1">
      <alignment horizontal="center" wrapText="1"/>
    </xf>
    <xf numFmtId="14" fontId="3" fillId="5" borderId="7" xfId="0" applyNumberFormat="1" applyFont="1" applyFill="1" applyBorder="1" applyAlignment="1">
      <alignment horizontal="center"/>
    </xf>
    <xf numFmtId="14" fontId="3" fillId="5" borderId="8" xfId="0" applyNumberFormat="1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17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2" fillId="0" borderId="3" xfId="0" applyFont="1" applyBorder="1"/>
    <xf numFmtId="0" fontId="5" fillId="3" borderId="4" xfId="0" applyFont="1" applyFill="1" applyBorder="1" applyAlignment="1">
      <alignment horizontal="center" vertical="center"/>
    </xf>
    <xf numFmtId="0" fontId="2" fillId="0" borderId="4" xfId="0" applyFont="1" applyBorder="1"/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14" fontId="3" fillId="5" borderId="4" xfId="0" applyNumberFormat="1" applyFont="1" applyFill="1" applyBorder="1" applyAlignment="1">
      <alignment horizontal="center"/>
    </xf>
    <xf numFmtId="41" fontId="3" fillId="5" borderId="4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34926</xdr:colOff>
      <xdr:row>0</xdr:row>
      <xdr:rowOff>38100</xdr:rowOff>
    </xdr:from>
    <xdr:to>
      <xdr:col>1</xdr:col>
      <xdr:colOff>158752</xdr:colOff>
      <xdr:row>2</xdr:row>
      <xdr:rowOff>104775</xdr:rowOff>
    </xdr:to>
    <xdr:pic>
      <xdr:nvPicPr>
        <xdr:cNvPr id="2" name="Picture 31" descr="DOT%20Logo_green">
          <a:extLst>
            <a:ext uri="{FF2B5EF4-FFF2-40B4-BE49-F238E27FC236}">
              <a16:creationId xmlns:a16="http://schemas.microsoft.com/office/drawing/2014/main" id="{169761CB-D55F-43C2-9CAE-04389A43A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759" y="38100"/>
          <a:ext cx="737659" cy="405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8469-8B79-4F3C-A91E-B63112B1C554}">
  <dimension ref="A2:F41"/>
  <sheetViews>
    <sheetView tabSelected="1" zoomScale="90" zoomScaleNormal="90" workbookViewId="0">
      <selection activeCell="A5" sqref="A5:A6"/>
    </sheetView>
  </sheetViews>
  <sheetFormatPr defaultRowHeight="13.2" x14ac:dyDescent="0.25"/>
  <cols>
    <col min="1" max="1" width="9.109375" style="1"/>
    <col min="2" max="2" width="13.44140625" style="1" customWidth="1"/>
    <col min="3" max="4" width="12.33203125" style="1" customWidth="1"/>
    <col min="5" max="5" width="15.5546875" style="1" customWidth="1"/>
    <col min="6" max="6" width="26.5546875" style="1" customWidth="1"/>
    <col min="7" max="11" width="9.109375" style="1"/>
    <col min="12" max="12" width="9.6640625" style="1" bestFit="1" customWidth="1"/>
    <col min="13" max="257" width="9.109375" style="1"/>
    <col min="258" max="258" width="13.44140625" style="1" customWidth="1"/>
    <col min="259" max="260" width="12.33203125" style="1" customWidth="1"/>
    <col min="261" max="261" width="15.5546875" style="1" customWidth="1"/>
    <col min="262" max="262" width="10" style="1" bestFit="1" customWidth="1"/>
    <col min="263" max="267" width="9.109375" style="1"/>
    <col min="268" max="268" width="9.6640625" style="1" bestFit="1" customWidth="1"/>
    <col min="269" max="513" width="9.109375" style="1"/>
    <col min="514" max="514" width="13.44140625" style="1" customWidth="1"/>
    <col min="515" max="516" width="12.33203125" style="1" customWidth="1"/>
    <col min="517" max="517" width="15.5546875" style="1" customWidth="1"/>
    <col min="518" max="518" width="10" style="1" bestFit="1" customWidth="1"/>
    <col min="519" max="523" width="9.109375" style="1"/>
    <col min="524" max="524" width="9.6640625" style="1" bestFit="1" customWidth="1"/>
    <col min="525" max="769" width="9.109375" style="1"/>
    <col min="770" max="770" width="13.44140625" style="1" customWidth="1"/>
    <col min="771" max="772" width="12.33203125" style="1" customWidth="1"/>
    <col min="773" max="773" width="15.5546875" style="1" customWidth="1"/>
    <col min="774" max="774" width="10" style="1" bestFit="1" customWidth="1"/>
    <col min="775" max="779" width="9.109375" style="1"/>
    <col min="780" max="780" width="9.6640625" style="1" bestFit="1" customWidth="1"/>
    <col min="781" max="1025" width="9.109375" style="1"/>
    <col min="1026" max="1026" width="13.44140625" style="1" customWidth="1"/>
    <col min="1027" max="1028" width="12.33203125" style="1" customWidth="1"/>
    <col min="1029" max="1029" width="15.5546875" style="1" customWidth="1"/>
    <col min="1030" max="1030" width="10" style="1" bestFit="1" customWidth="1"/>
    <col min="1031" max="1035" width="9.109375" style="1"/>
    <col min="1036" max="1036" width="9.6640625" style="1" bestFit="1" customWidth="1"/>
    <col min="1037" max="1281" width="9.109375" style="1"/>
    <col min="1282" max="1282" width="13.44140625" style="1" customWidth="1"/>
    <col min="1283" max="1284" width="12.33203125" style="1" customWidth="1"/>
    <col min="1285" max="1285" width="15.5546875" style="1" customWidth="1"/>
    <col min="1286" max="1286" width="10" style="1" bestFit="1" customWidth="1"/>
    <col min="1287" max="1291" width="9.109375" style="1"/>
    <col min="1292" max="1292" width="9.6640625" style="1" bestFit="1" customWidth="1"/>
    <col min="1293" max="1537" width="9.109375" style="1"/>
    <col min="1538" max="1538" width="13.44140625" style="1" customWidth="1"/>
    <col min="1539" max="1540" width="12.33203125" style="1" customWidth="1"/>
    <col min="1541" max="1541" width="15.5546875" style="1" customWidth="1"/>
    <col min="1542" max="1542" width="10" style="1" bestFit="1" customWidth="1"/>
    <col min="1543" max="1547" width="9.109375" style="1"/>
    <col min="1548" max="1548" width="9.6640625" style="1" bestFit="1" customWidth="1"/>
    <col min="1549" max="1793" width="9.109375" style="1"/>
    <col min="1794" max="1794" width="13.44140625" style="1" customWidth="1"/>
    <col min="1795" max="1796" width="12.33203125" style="1" customWidth="1"/>
    <col min="1797" max="1797" width="15.5546875" style="1" customWidth="1"/>
    <col min="1798" max="1798" width="10" style="1" bestFit="1" customWidth="1"/>
    <col min="1799" max="1803" width="9.109375" style="1"/>
    <col min="1804" max="1804" width="9.6640625" style="1" bestFit="1" customWidth="1"/>
    <col min="1805" max="2049" width="9.109375" style="1"/>
    <col min="2050" max="2050" width="13.44140625" style="1" customWidth="1"/>
    <col min="2051" max="2052" width="12.33203125" style="1" customWidth="1"/>
    <col min="2053" max="2053" width="15.5546875" style="1" customWidth="1"/>
    <col min="2054" max="2054" width="10" style="1" bestFit="1" customWidth="1"/>
    <col min="2055" max="2059" width="9.109375" style="1"/>
    <col min="2060" max="2060" width="9.6640625" style="1" bestFit="1" customWidth="1"/>
    <col min="2061" max="2305" width="9.109375" style="1"/>
    <col min="2306" max="2306" width="13.44140625" style="1" customWidth="1"/>
    <col min="2307" max="2308" width="12.33203125" style="1" customWidth="1"/>
    <col min="2309" max="2309" width="15.5546875" style="1" customWidth="1"/>
    <col min="2310" max="2310" width="10" style="1" bestFit="1" customWidth="1"/>
    <col min="2311" max="2315" width="9.109375" style="1"/>
    <col min="2316" max="2316" width="9.6640625" style="1" bestFit="1" customWidth="1"/>
    <col min="2317" max="2561" width="9.109375" style="1"/>
    <col min="2562" max="2562" width="13.44140625" style="1" customWidth="1"/>
    <col min="2563" max="2564" width="12.33203125" style="1" customWidth="1"/>
    <col min="2565" max="2565" width="15.5546875" style="1" customWidth="1"/>
    <col min="2566" max="2566" width="10" style="1" bestFit="1" customWidth="1"/>
    <col min="2567" max="2571" width="9.109375" style="1"/>
    <col min="2572" max="2572" width="9.6640625" style="1" bestFit="1" customWidth="1"/>
    <col min="2573" max="2817" width="9.109375" style="1"/>
    <col min="2818" max="2818" width="13.44140625" style="1" customWidth="1"/>
    <col min="2819" max="2820" width="12.33203125" style="1" customWidth="1"/>
    <col min="2821" max="2821" width="15.5546875" style="1" customWidth="1"/>
    <col min="2822" max="2822" width="10" style="1" bestFit="1" customWidth="1"/>
    <col min="2823" max="2827" width="9.109375" style="1"/>
    <col min="2828" max="2828" width="9.6640625" style="1" bestFit="1" customWidth="1"/>
    <col min="2829" max="3073" width="9.109375" style="1"/>
    <col min="3074" max="3074" width="13.44140625" style="1" customWidth="1"/>
    <col min="3075" max="3076" width="12.33203125" style="1" customWidth="1"/>
    <col min="3077" max="3077" width="15.5546875" style="1" customWidth="1"/>
    <col min="3078" max="3078" width="10" style="1" bestFit="1" customWidth="1"/>
    <col min="3079" max="3083" width="9.109375" style="1"/>
    <col min="3084" max="3084" width="9.6640625" style="1" bestFit="1" customWidth="1"/>
    <col min="3085" max="3329" width="9.109375" style="1"/>
    <col min="3330" max="3330" width="13.44140625" style="1" customWidth="1"/>
    <col min="3331" max="3332" width="12.33203125" style="1" customWidth="1"/>
    <col min="3333" max="3333" width="15.5546875" style="1" customWidth="1"/>
    <col min="3334" max="3334" width="10" style="1" bestFit="1" customWidth="1"/>
    <col min="3335" max="3339" width="9.109375" style="1"/>
    <col min="3340" max="3340" width="9.6640625" style="1" bestFit="1" customWidth="1"/>
    <col min="3341" max="3585" width="9.109375" style="1"/>
    <col min="3586" max="3586" width="13.44140625" style="1" customWidth="1"/>
    <col min="3587" max="3588" width="12.33203125" style="1" customWidth="1"/>
    <col min="3589" max="3589" width="15.5546875" style="1" customWidth="1"/>
    <col min="3590" max="3590" width="10" style="1" bestFit="1" customWidth="1"/>
    <col min="3591" max="3595" width="9.109375" style="1"/>
    <col min="3596" max="3596" width="9.6640625" style="1" bestFit="1" customWidth="1"/>
    <col min="3597" max="3841" width="9.109375" style="1"/>
    <col min="3842" max="3842" width="13.44140625" style="1" customWidth="1"/>
    <col min="3843" max="3844" width="12.33203125" style="1" customWidth="1"/>
    <col min="3845" max="3845" width="15.5546875" style="1" customWidth="1"/>
    <col min="3846" max="3846" width="10" style="1" bestFit="1" customWidth="1"/>
    <col min="3847" max="3851" width="9.109375" style="1"/>
    <col min="3852" max="3852" width="9.6640625" style="1" bestFit="1" customWidth="1"/>
    <col min="3853" max="4097" width="9.109375" style="1"/>
    <col min="4098" max="4098" width="13.44140625" style="1" customWidth="1"/>
    <col min="4099" max="4100" width="12.33203125" style="1" customWidth="1"/>
    <col min="4101" max="4101" width="15.5546875" style="1" customWidth="1"/>
    <col min="4102" max="4102" width="10" style="1" bestFit="1" customWidth="1"/>
    <col min="4103" max="4107" width="9.109375" style="1"/>
    <col min="4108" max="4108" width="9.6640625" style="1" bestFit="1" customWidth="1"/>
    <col min="4109" max="4353" width="9.109375" style="1"/>
    <col min="4354" max="4354" width="13.44140625" style="1" customWidth="1"/>
    <col min="4355" max="4356" width="12.33203125" style="1" customWidth="1"/>
    <col min="4357" max="4357" width="15.5546875" style="1" customWidth="1"/>
    <col min="4358" max="4358" width="10" style="1" bestFit="1" customWidth="1"/>
    <col min="4359" max="4363" width="9.109375" style="1"/>
    <col min="4364" max="4364" width="9.6640625" style="1" bestFit="1" customWidth="1"/>
    <col min="4365" max="4609" width="9.109375" style="1"/>
    <col min="4610" max="4610" width="13.44140625" style="1" customWidth="1"/>
    <col min="4611" max="4612" width="12.33203125" style="1" customWidth="1"/>
    <col min="4613" max="4613" width="15.5546875" style="1" customWidth="1"/>
    <col min="4614" max="4614" width="10" style="1" bestFit="1" customWidth="1"/>
    <col min="4615" max="4619" width="9.109375" style="1"/>
    <col min="4620" max="4620" width="9.6640625" style="1" bestFit="1" customWidth="1"/>
    <col min="4621" max="4865" width="9.109375" style="1"/>
    <col min="4866" max="4866" width="13.44140625" style="1" customWidth="1"/>
    <col min="4867" max="4868" width="12.33203125" style="1" customWidth="1"/>
    <col min="4869" max="4869" width="15.5546875" style="1" customWidth="1"/>
    <col min="4870" max="4870" width="10" style="1" bestFit="1" customWidth="1"/>
    <col min="4871" max="4875" width="9.109375" style="1"/>
    <col min="4876" max="4876" width="9.6640625" style="1" bestFit="1" customWidth="1"/>
    <col min="4877" max="5121" width="9.109375" style="1"/>
    <col min="5122" max="5122" width="13.44140625" style="1" customWidth="1"/>
    <col min="5123" max="5124" width="12.33203125" style="1" customWidth="1"/>
    <col min="5125" max="5125" width="15.5546875" style="1" customWidth="1"/>
    <col min="5126" max="5126" width="10" style="1" bestFit="1" customWidth="1"/>
    <col min="5127" max="5131" width="9.109375" style="1"/>
    <col min="5132" max="5132" width="9.6640625" style="1" bestFit="1" customWidth="1"/>
    <col min="5133" max="5377" width="9.109375" style="1"/>
    <col min="5378" max="5378" width="13.44140625" style="1" customWidth="1"/>
    <col min="5379" max="5380" width="12.33203125" style="1" customWidth="1"/>
    <col min="5381" max="5381" width="15.5546875" style="1" customWidth="1"/>
    <col min="5382" max="5382" width="10" style="1" bestFit="1" customWidth="1"/>
    <col min="5383" max="5387" width="9.109375" style="1"/>
    <col min="5388" max="5388" width="9.6640625" style="1" bestFit="1" customWidth="1"/>
    <col min="5389" max="5633" width="9.109375" style="1"/>
    <col min="5634" max="5634" width="13.44140625" style="1" customWidth="1"/>
    <col min="5635" max="5636" width="12.33203125" style="1" customWidth="1"/>
    <col min="5637" max="5637" width="15.5546875" style="1" customWidth="1"/>
    <col min="5638" max="5638" width="10" style="1" bestFit="1" customWidth="1"/>
    <col min="5639" max="5643" width="9.109375" style="1"/>
    <col min="5644" max="5644" width="9.6640625" style="1" bestFit="1" customWidth="1"/>
    <col min="5645" max="5889" width="9.109375" style="1"/>
    <col min="5890" max="5890" width="13.44140625" style="1" customWidth="1"/>
    <col min="5891" max="5892" width="12.33203125" style="1" customWidth="1"/>
    <col min="5893" max="5893" width="15.5546875" style="1" customWidth="1"/>
    <col min="5894" max="5894" width="10" style="1" bestFit="1" customWidth="1"/>
    <col min="5895" max="5899" width="9.109375" style="1"/>
    <col min="5900" max="5900" width="9.6640625" style="1" bestFit="1" customWidth="1"/>
    <col min="5901" max="6145" width="9.109375" style="1"/>
    <col min="6146" max="6146" width="13.44140625" style="1" customWidth="1"/>
    <col min="6147" max="6148" width="12.33203125" style="1" customWidth="1"/>
    <col min="6149" max="6149" width="15.5546875" style="1" customWidth="1"/>
    <col min="6150" max="6150" width="10" style="1" bestFit="1" customWidth="1"/>
    <col min="6151" max="6155" width="9.109375" style="1"/>
    <col min="6156" max="6156" width="9.6640625" style="1" bestFit="1" customWidth="1"/>
    <col min="6157" max="6401" width="9.109375" style="1"/>
    <col min="6402" max="6402" width="13.44140625" style="1" customWidth="1"/>
    <col min="6403" max="6404" width="12.33203125" style="1" customWidth="1"/>
    <col min="6405" max="6405" width="15.5546875" style="1" customWidth="1"/>
    <col min="6406" max="6406" width="10" style="1" bestFit="1" customWidth="1"/>
    <col min="6407" max="6411" width="9.109375" style="1"/>
    <col min="6412" max="6412" width="9.6640625" style="1" bestFit="1" customWidth="1"/>
    <col min="6413" max="6657" width="9.109375" style="1"/>
    <col min="6658" max="6658" width="13.44140625" style="1" customWidth="1"/>
    <col min="6659" max="6660" width="12.33203125" style="1" customWidth="1"/>
    <col min="6661" max="6661" width="15.5546875" style="1" customWidth="1"/>
    <col min="6662" max="6662" width="10" style="1" bestFit="1" customWidth="1"/>
    <col min="6663" max="6667" width="9.109375" style="1"/>
    <col min="6668" max="6668" width="9.6640625" style="1" bestFit="1" customWidth="1"/>
    <col min="6669" max="6913" width="9.109375" style="1"/>
    <col min="6914" max="6914" width="13.44140625" style="1" customWidth="1"/>
    <col min="6915" max="6916" width="12.33203125" style="1" customWidth="1"/>
    <col min="6917" max="6917" width="15.5546875" style="1" customWidth="1"/>
    <col min="6918" max="6918" width="10" style="1" bestFit="1" customWidth="1"/>
    <col min="6919" max="6923" width="9.109375" style="1"/>
    <col min="6924" max="6924" width="9.6640625" style="1" bestFit="1" customWidth="1"/>
    <col min="6925" max="7169" width="9.109375" style="1"/>
    <col min="7170" max="7170" width="13.44140625" style="1" customWidth="1"/>
    <col min="7171" max="7172" width="12.33203125" style="1" customWidth="1"/>
    <col min="7173" max="7173" width="15.5546875" style="1" customWidth="1"/>
    <col min="7174" max="7174" width="10" style="1" bestFit="1" customWidth="1"/>
    <col min="7175" max="7179" width="9.109375" style="1"/>
    <col min="7180" max="7180" width="9.6640625" style="1" bestFit="1" customWidth="1"/>
    <col min="7181" max="7425" width="9.109375" style="1"/>
    <col min="7426" max="7426" width="13.44140625" style="1" customWidth="1"/>
    <col min="7427" max="7428" width="12.33203125" style="1" customWidth="1"/>
    <col min="7429" max="7429" width="15.5546875" style="1" customWidth="1"/>
    <col min="7430" max="7430" width="10" style="1" bestFit="1" customWidth="1"/>
    <col min="7431" max="7435" width="9.109375" style="1"/>
    <col min="7436" max="7436" width="9.6640625" style="1" bestFit="1" customWidth="1"/>
    <col min="7437" max="7681" width="9.109375" style="1"/>
    <col min="7682" max="7682" width="13.44140625" style="1" customWidth="1"/>
    <col min="7683" max="7684" width="12.33203125" style="1" customWidth="1"/>
    <col min="7685" max="7685" width="15.5546875" style="1" customWidth="1"/>
    <col min="7686" max="7686" width="10" style="1" bestFit="1" customWidth="1"/>
    <col min="7687" max="7691" width="9.109375" style="1"/>
    <col min="7692" max="7692" width="9.6640625" style="1" bestFit="1" customWidth="1"/>
    <col min="7693" max="7937" width="9.109375" style="1"/>
    <col min="7938" max="7938" width="13.44140625" style="1" customWidth="1"/>
    <col min="7939" max="7940" width="12.33203125" style="1" customWidth="1"/>
    <col min="7941" max="7941" width="15.5546875" style="1" customWidth="1"/>
    <col min="7942" max="7942" width="10" style="1" bestFit="1" customWidth="1"/>
    <col min="7943" max="7947" width="9.109375" style="1"/>
    <col min="7948" max="7948" width="9.6640625" style="1" bestFit="1" customWidth="1"/>
    <col min="7949" max="8193" width="9.109375" style="1"/>
    <col min="8194" max="8194" width="13.44140625" style="1" customWidth="1"/>
    <col min="8195" max="8196" width="12.33203125" style="1" customWidth="1"/>
    <col min="8197" max="8197" width="15.5546875" style="1" customWidth="1"/>
    <col min="8198" max="8198" width="10" style="1" bestFit="1" customWidth="1"/>
    <col min="8199" max="8203" width="9.109375" style="1"/>
    <col min="8204" max="8204" width="9.6640625" style="1" bestFit="1" customWidth="1"/>
    <col min="8205" max="8449" width="9.109375" style="1"/>
    <col min="8450" max="8450" width="13.44140625" style="1" customWidth="1"/>
    <col min="8451" max="8452" width="12.33203125" style="1" customWidth="1"/>
    <col min="8453" max="8453" width="15.5546875" style="1" customWidth="1"/>
    <col min="8454" max="8454" width="10" style="1" bestFit="1" customWidth="1"/>
    <col min="8455" max="8459" width="9.109375" style="1"/>
    <col min="8460" max="8460" width="9.6640625" style="1" bestFit="1" customWidth="1"/>
    <col min="8461" max="8705" width="9.109375" style="1"/>
    <col min="8706" max="8706" width="13.44140625" style="1" customWidth="1"/>
    <col min="8707" max="8708" width="12.33203125" style="1" customWidth="1"/>
    <col min="8709" max="8709" width="15.5546875" style="1" customWidth="1"/>
    <col min="8710" max="8710" width="10" style="1" bestFit="1" customWidth="1"/>
    <col min="8711" max="8715" width="9.109375" style="1"/>
    <col min="8716" max="8716" width="9.6640625" style="1" bestFit="1" customWidth="1"/>
    <col min="8717" max="8961" width="9.109375" style="1"/>
    <col min="8962" max="8962" width="13.44140625" style="1" customWidth="1"/>
    <col min="8963" max="8964" width="12.33203125" style="1" customWidth="1"/>
    <col min="8965" max="8965" width="15.5546875" style="1" customWidth="1"/>
    <col min="8966" max="8966" width="10" style="1" bestFit="1" customWidth="1"/>
    <col min="8967" max="8971" width="9.109375" style="1"/>
    <col min="8972" max="8972" width="9.6640625" style="1" bestFit="1" customWidth="1"/>
    <col min="8973" max="9217" width="9.109375" style="1"/>
    <col min="9218" max="9218" width="13.44140625" style="1" customWidth="1"/>
    <col min="9219" max="9220" width="12.33203125" style="1" customWidth="1"/>
    <col min="9221" max="9221" width="15.5546875" style="1" customWidth="1"/>
    <col min="9222" max="9222" width="10" style="1" bestFit="1" customWidth="1"/>
    <col min="9223" max="9227" width="9.109375" style="1"/>
    <col min="9228" max="9228" width="9.6640625" style="1" bestFit="1" customWidth="1"/>
    <col min="9229" max="9473" width="9.109375" style="1"/>
    <col min="9474" max="9474" width="13.44140625" style="1" customWidth="1"/>
    <col min="9475" max="9476" width="12.33203125" style="1" customWidth="1"/>
    <col min="9477" max="9477" width="15.5546875" style="1" customWidth="1"/>
    <col min="9478" max="9478" width="10" style="1" bestFit="1" customWidth="1"/>
    <col min="9479" max="9483" width="9.109375" style="1"/>
    <col min="9484" max="9484" width="9.6640625" style="1" bestFit="1" customWidth="1"/>
    <col min="9485" max="9729" width="9.109375" style="1"/>
    <col min="9730" max="9730" width="13.44140625" style="1" customWidth="1"/>
    <col min="9731" max="9732" width="12.33203125" style="1" customWidth="1"/>
    <col min="9733" max="9733" width="15.5546875" style="1" customWidth="1"/>
    <col min="9734" max="9734" width="10" style="1" bestFit="1" customWidth="1"/>
    <col min="9735" max="9739" width="9.109375" style="1"/>
    <col min="9740" max="9740" width="9.6640625" style="1" bestFit="1" customWidth="1"/>
    <col min="9741" max="9985" width="9.109375" style="1"/>
    <col min="9986" max="9986" width="13.44140625" style="1" customWidth="1"/>
    <col min="9987" max="9988" width="12.33203125" style="1" customWidth="1"/>
    <col min="9989" max="9989" width="15.5546875" style="1" customWidth="1"/>
    <col min="9990" max="9990" width="10" style="1" bestFit="1" customWidth="1"/>
    <col min="9991" max="9995" width="9.109375" style="1"/>
    <col min="9996" max="9996" width="9.6640625" style="1" bestFit="1" customWidth="1"/>
    <col min="9997" max="10241" width="9.109375" style="1"/>
    <col min="10242" max="10242" width="13.44140625" style="1" customWidth="1"/>
    <col min="10243" max="10244" width="12.33203125" style="1" customWidth="1"/>
    <col min="10245" max="10245" width="15.5546875" style="1" customWidth="1"/>
    <col min="10246" max="10246" width="10" style="1" bestFit="1" customWidth="1"/>
    <col min="10247" max="10251" width="9.109375" style="1"/>
    <col min="10252" max="10252" width="9.6640625" style="1" bestFit="1" customWidth="1"/>
    <col min="10253" max="10497" width="9.109375" style="1"/>
    <col min="10498" max="10498" width="13.44140625" style="1" customWidth="1"/>
    <col min="10499" max="10500" width="12.33203125" style="1" customWidth="1"/>
    <col min="10501" max="10501" width="15.5546875" style="1" customWidth="1"/>
    <col min="10502" max="10502" width="10" style="1" bestFit="1" customWidth="1"/>
    <col min="10503" max="10507" width="9.109375" style="1"/>
    <col min="10508" max="10508" width="9.6640625" style="1" bestFit="1" customWidth="1"/>
    <col min="10509" max="10753" width="9.109375" style="1"/>
    <col min="10754" max="10754" width="13.44140625" style="1" customWidth="1"/>
    <col min="10755" max="10756" width="12.33203125" style="1" customWidth="1"/>
    <col min="10757" max="10757" width="15.5546875" style="1" customWidth="1"/>
    <col min="10758" max="10758" width="10" style="1" bestFit="1" customWidth="1"/>
    <col min="10759" max="10763" width="9.109375" style="1"/>
    <col min="10764" max="10764" width="9.6640625" style="1" bestFit="1" customWidth="1"/>
    <col min="10765" max="11009" width="9.109375" style="1"/>
    <col min="11010" max="11010" width="13.44140625" style="1" customWidth="1"/>
    <col min="11011" max="11012" width="12.33203125" style="1" customWidth="1"/>
    <col min="11013" max="11013" width="15.5546875" style="1" customWidth="1"/>
    <col min="11014" max="11014" width="10" style="1" bestFit="1" customWidth="1"/>
    <col min="11015" max="11019" width="9.109375" style="1"/>
    <col min="11020" max="11020" width="9.6640625" style="1" bestFit="1" customWidth="1"/>
    <col min="11021" max="11265" width="9.109375" style="1"/>
    <col min="11266" max="11266" width="13.44140625" style="1" customWidth="1"/>
    <col min="11267" max="11268" width="12.33203125" style="1" customWidth="1"/>
    <col min="11269" max="11269" width="15.5546875" style="1" customWidth="1"/>
    <col min="11270" max="11270" width="10" style="1" bestFit="1" customWidth="1"/>
    <col min="11271" max="11275" width="9.109375" style="1"/>
    <col min="11276" max="11276" width="9.6640625" style="1" bestFit="1" customWidth="1"/>
    <col min="11277" max="11521" width="9.109375" style="1"/>
    <col min="11522" max="11522" width="13.44140625" style="1" customWidth="1"/>
    <col min="11523" max="11524" width="12.33203125" style="1" customWidth="1"/>
    <col min="11525" max="11525" width="15.5546875" style="1" customWidth="1"/>
    <col min="11526" max="11526" width="10" style="1" bestFit="1" customWidth="1"/>
    <col min="11527" max="11531" width="9.109375" style="1"/>
    <col min="11532" max="11532" width="9.6640625" style="1" bestFit="1" customWidth="1"/>
    <col min="11533" max="11777" width="9.109375" style="1"/>
    <col min="11778" max="11778" width="13.44140625" style="1" customWidth="1"/>
    <col min="11779" max="11780" width="12.33203125" style="1" customWidth="1"/>
    <col min="11781" max="11781" width="15.5546875" style="1" customWidth="1"/>
    <col min="11782" max="11782" width="10" style="1" bestFit="1" customWidth="1"/>
    <col min="11783" max="11787" width="9.109375" style="1"/>
    <col min="11788" max="11788" width="9.6640625" style="1" bestFit="1" customWidth="1"/>
    <col min="11789" max="12033" width="9.109375" style="1"/>
    <col min="12034" max="12034" width="13.44140625" style="1" customWidth="1"/>
    <col min="12035" max="12036" width="12.33203125" style="1" customWidth="1"/>
    <col min="12037" max="12037" width="15.5546875" style="1" customWidth="1"/>
    <col min="12038" max="12038" width="10" style="1" bestFit="1" customWidth="1"/>
    <col min="12039" max="12043" width="9.109375" style="1"/>
    <col min="12044" max="12044" width="9.6640625" style="1" bestFit="1" customWidth="1"/>
    <col min="12045" max="12289" width="9.109375" style="1"/>
    <col min="12290" max="12290" width="13.44140625" style="1" customWidth="1"/>
    <col min="12291" max="12292" width="12.33203125" style="1" customWidth="1"/>
    <col min="12293" max="12293" width="15.5546875" style="1" customWidth="1"/>
    <col min="12294" max="12294" width="10" style="1" bestFit="1" customWidth="1"/>
    <col min="12295" max="12299" width="9.109375" style="1"/>
    <col min="12300" max="12300" width="9.6640625" style="1" bestFit="1" customWidth="1"/>
    <col min="12301" max="12545" width="9.109375" style="1"/>
    <col min="12546" max="12546" width="13.44140625" style="1" customWidth="1"/>
    <col min="12547" max="12548" width="12.33203125" style="1" customWidth="1"/>
    <col min="12549" max="12549" width="15.5546875" style="1" customWidth="1"/>
    <col min="12550" max="12550" width="10" style="1" bestFit="1" customWidth="1"/>
    <col min="12551" max="12555" width="9.109375" style="1"/>
    <col min="12556" max="12556" width="9.6640625" style="1" bestFit="1" customWidth="1"/>
    <col min="12557" max="12801" width="9.109375" style="1"/>
    <col min="12802" max="12802" width="13.44140625" style="1" customWidth="1"/>
    <col min="12803" max="12804" width="12.33203125" style="1" customWidth="1"/>
    <col min="12805" max="12805" width="15.5546875" style="1" customWidth="1"/>
    <col min="12806" max="12806" width="10" style="1" bestFit="1" customWidth="1"/>
    <col min="12807" max="12811" width="9.109375" style="1"/>
    <col min="12812" max="12812" width="9.6640625" style="1" bestFit="1" customWidth="1"/>
    <col min="12813" max="13057" width="9.109375" style="1"/>
    <col min="13058" max="13058" width="13.44140625" style="1" customWidth="1"/>
    <col min="13059" max="13060" width="12.33203125" style="1" customWidth="1"/>
    <col min="13061" max="13061" width="15.5546875" style="1" customWidth="1"/>
    <col min="13062" max="13062" width="10" style="1" bestFit="1" customWidth="1"/>
    <col min="13063" max="13067" width="9.109375" style="1"/>
    <col min="13068" max="13068" width="9.6640625" style="1" bestFit="1" customWidth="1"/>
    <col min="13069" max="13313" width="9.109375" style="1"/>
    <col min="13314" max="13314" width="13.44140625" style="1" customWidth="1"/>
    <col min="13315" max="13316" width="12.33203125" style="1" customWidth="1"/>
    <col min="13317" max="13317" width="15.5546875" style="1" customWidth="1"/>
    <col min="13318" max="13318" width="10" style="1" bestFit="1" customWidth="1"/>
    <col min="13319" max="13323" width="9.109375" style="1"/>
    <col min="13324" max="13324" width="9.6640625" style="1" bestFit="1" customWidth="1"/>
    <col min="13325" max="13569" width="9.109375" style="1"/>
    <col min="13570" max="13570" width="13.44140625" style="1" customWidth="1"/>
    <col min="13571" max="13572" width="12.33203125" style="1" customWidth="1"/>
    <col min="13573" max="13573" width="15.5546875" style="1" customWidth="1"/>
    <col min="13574" max="13574" width="10" style="1" bestFit="1" customWidth="1"/>
    <col min="13575" max="13579" width="9.109375" style="1"/>
    <col min="13580" max="13580" width="9.6640625" style="1" bestFit="1" customWidth="1"/>
    <col min="13581" max="13825" width="9.109375" style="1"/>
    <col min="13826" max="13826" width="13.44140625" style="1" customWidth="1"/>
    <col min="13827" max="13828" width="12.33203125" style="1" customWidth="1"/>
    <col min="13829" max="13829" width="15.5546875" style="1" customWidth="1"/>
    <col min="13830" max="13830" width="10" style="1" bestFit="1" customWidth="1"/>
    <col min="13831" max="13835" width="9.109375" style="1"/>
    <col min="13836" max="13836" width="9.6640625" style="1" bestFit="1" customWidth="1"/>
    <col min="13837" max="14081" width="9.109375" style="1"/>
    <col min="14082" max="14082" width="13.44140625" style="1" customWidth="1"/>
    <col min="14083" max="14084" width="12.33203125" style="1" customWidth="1"/>
    <col min="14085" max="14085" width="15.5546875" style="1" customWidth="1"/>
    <col min="14086" max="14086" width="10" style="1" bestFit="1" customWidth="1"/>
    <col min="14087" max="14091" width="9.109375" style="1"/>
    <col min="14092" max="14092" width="9.6640625" style="1" bestFit="1" customWidth="1"/>
    <col min="14093" max="14337" width="9.109375" style="1"/>
    <col min="14338" max="14338" width="13.44140625" style="1" customWidth="1"/>
    <col min="14339" max="14340" width="12.33203125" style="1" customWidth="1"/>
    <col min="14341" max="14341" width="15.5546875" style="1" customWidth="1"/>
    <col min="14342" max="14342" width="10" style="1" bestFit="1" customWidth="1"/>
    <col min="14343" max="14347" width="9.109375" style="1"/>
    <col min="14348" max="14348" width="9.6640625" style="1" bestFit="1" customWidth="1"/>
    <col min="14349" max="14593" width="9.109375" style="1"/>
    <col min="14594" max="14594" width="13.44140625" style="1" customWidth="1"/>
    <col min="14595" max="14596" width="12.33203125" style="1" customWidth="1"/>
    <col min="14597" max="14597" width="15.5546875" style="1" customWidth="1"/>
    <col min="14598" max="14598" width="10" style="1" bestFit="1" customWidth="1"/>
    <col min="14599" max="14603" width="9.109375" style="1"/>
    <col min="14604" max="14604" width="9.6640625" style="1" bestFit="1" customWidth="1"/>
    <col min="14605" max="14849" width="9.109375" style="1"/>
    <col min="14850" max="14850" width="13.44140625" style="1" customWidth="1"/>
    <col min="14851" max="14852" width="12.33203125" style="1" customWidth="1"/>
    <col min="14853" max="14853" width="15.5546875" style="1" customWidth="1"/>
    <col min="14854" max="14854" width="10" style="1" bestFit="1" customWidth="1"/>
    <col min="14855" max="14859" width="9.109375" style="1"/>
    <col min="14860" max="14860" width="9.6640625" style="1" bestFit="1" customWidth="1"/>
    <col min="14861" max="15105" width="9.109375" style="1"/>
    <col min="15106" max="15106" width="13.44140625" style="1" customWidth="1"/>
    <col min="15107" max="15108" width="12.33203125" style="1" customWidth="1"/>
    <col min="15109" max="15109" width="15.5546875" style="1" customWidth="1"/>
    <col min="15110" max="15110" width="10" style="1" bestFit="1" customWidth="1"/>
    <col min="15111" max="15115" width="9.109375" style="1"/>
    <col min="15116" max="15116" width="9.6640625" style="1" bestFit="1" customWidth="1"/>
    <col min="15117" max="15361" width="9.109375" style="1"/>
    <col min="15362" max="15362" width="13.44140625" style="1" customWidth="1"/>
    <col min="15363" max="15364" width="12.33203125" style="1" customWidth="1"/>
    <col min="15365" max="15365" width="15.5546875" style="1" customWidth="1"/>
    <col min="15366" max="15366" width="10" style="1" bestFit="1" customWidth="1"/>
    <col min="15367" max="15371" width="9.109375" style="1"/>
    <col min="15372" max="15372" width="9.6640625" style="1" bestFit="1" customWidth="1"/>
    <col min="15373" max="15617" width="9.109375" style="1"/>
    <col min="15618" max="15618" width="13.44140625" style="1" customWidth="1"/>
    <col min="15619" max="15620" width="12.33203125" style="1" customWidth="1"/>
    <col min="15621" max="15621" width="15.5546875" style="1" customWidth="1"/>
    <col min="15622" max="15622" width="10" style="1" bestFit="1" customWidth="1"/>
    <col min="15623" max="15627" width="9.109375" style="1"/>
    <col min="15628" max="15628" width="9.6640625" style="1" bestFit="1" customWidth="1"/>
    <col min="15629" max="15873" width="9.109375" style="1"/>
    <col min="15874" max="15874" width="13.44140625" style="1" customWidth="1"/>
    <col min="15875" max="15876" width="12.33203125" style="1" customWidth="1"/>
    <col min="15877" max="15877" width="15.5546875" style="1" customWidth="1"/>
    <col min="15878" max="15878" width="10" style="1" bestFit="1" customWidth="1"/>
    <col min="15879" max="15883" width="9.109375" style="1"/>
    <col min="15884" max="15884" width="9.6640625" style="1" bestFit="1" customWidth="1"/>
    <col min="15885" max="16129" width="9.109375" style="1"/>
    <col min="16130" max="16130" width="13.44140625" style="1" customWidth="1"/>
    <col min="16131" max="16132" width="12.33203125" style="1" customWidth="1"/>
    <col min="16133" max="16133" width="15.5546875" style="1" customWidth="1"/>
    <col min="16134" max="16134" width="10" style="1" bestFit="1" customWidth="1"/>
    <col min="16135" max="16139" width="9.109375" style="1"/>
    <col min="16140" max="16140" width="9.6640625" style="1" bestFit="1" customWidth="1"/>
    <col min="16141" max="16383" width="9.109375" style="1"/>
    <col min="16384" max="16384" width="9.109375" style="1" customWidth="1"/>
  </cols>
  <sheetData>
    <row r="2" spans="1:6" x14ac:dyDescent="0.25">
      <c r="A2" s="2"/>
      <c r="B2" s="2" t="s">
        <v>7</v>
      </c>
      <c r="C2" s="2"/>
      <c r="D2" s="2"/>
      <c r="E2" s="2"/>
    </row>
    <row r="3" spans="1:6" ht="13.8" thickBot="1" x14ac:dyDescent="0.3"/>
    <row r="4" spans="1:6" x14ac:dyDescent="0.25">
      <c r="A4" s="28">
        <v>45108</v>
      </c>
      <c r="B4" s="29"/>
      <c r="C4" s="29"/>
      <c r="D4" s="29"/>
      <c r="E4" s="29"/>
    </row>
    <row r="5" spans="1:6" x14ac:dyDescent="0.25">
      <c r="A5" s="30" t="s">
        <v>0</v>
      </c>
      <c r="B5" s="32" t="s">
        <v>1</v>
      </c>
      <c r="C5" s="34" t="s">
        <v>2</v>
      </c>
      <c r="D5" s="32" t="s">
        <v>3</v>
      </c>
      <c r="E5" s="35" t="s">
        <v>4</v>
      </c>
    </row>
    <row r="6" spans="1:6" x14ac:dyDescent="0.25">
      <c r="A6" s="31"/>
      <c r="B6" s="33"/>
      <c r="C6" s="33"/>
      <c r="D6" s="33"/>
      <c r="E6" s="36"/>
    </row>
    <row r="7" spans="1:6" hidden="1" x14ac:dyDescent="0.25">
      <c r="A7" s="3" t="str">
        <f>CHOOSE(WEEKDAY(B7),"SUN","MON","TUES","WED","THU","FRI","SAT")</f>
        <v>FRI</v>
      </c>
      <c r="B7" s="4">
        <v>45107</v>
      </c>
      <c r="C7" s="5"/>
      <c r="D7" s="5"/>
      <c r="E7" s="6"/>
      <c r="F7" s="7"/>
    </row>
    <row r="8" spans="1:6" ht="13.5" customHeight="1" x14ac:dyDescent="0.25">
      <c r="A8" s="3" t="str">
        <f t="shared" ref="A8:A35" si="0">CHOOSE(WEEKDAY(B8),"SUN","MON","TUES","WED","THU","FRI","SAT")</f>
        <v>SAT</v>
      </c>
      <c r="B8" s="4">
        <f>B7+1</f>
        <v>45108</v>
      </c>
      <c r="C8" s="5">
        <v>25792</v>
      </c>
      <c r="D8" s="5">
        <v>25263</v>
      </c>
      <c r="E8" s="6">
        <f>SUM(C8:D8)</f>
        <v>51055</v>
      </c>
    </row>
    <row r="9" spans="1:6" ht="13.5" customHeight="1" x14ac:dyDescent="0.25">
      <c r="A9" s="3" t="str">
        <f t="shared" si="0"/>
        <v>SUN</v>
      </c>
      <c r="B9" s="4">
        <f>B8+1</f>
        <v>45109</v>
      </c>
      <c r="C9" s="5">
        <v>21890</v>
      </c>
      <c r="D9" s="5">
        <v>21150</v>
      </c>
      <c r="E9" s="6">
        <f t="shared" ref="E9:E11" si="1">SUM(C9:D9)</f>
        <v>43040</v>
      </c>
      <c r="F9" s="7"/>
    </row>
    <row r="10" spans="1:6" ht="13.5" customHeight="1" x14ac:dyDescent="0.25">
      <c r="A10" s="3" t="str">
        <f t="shared" si="0"/>
        <v>MON</v>
      </c>
      <c r="B10" s="4">
        <f t="shared" ref="B10:B33" si="2">B9+1</f>
        <v>45110</v>
      </c>
      <c r="C10" s="5">
        <v>28763</v>
      </c>
      <c r="D10" s="5">
        <v>28332</v>
      </c>
      <c r="E10" s="6">
        <f t="shared" si="1"/>
        <v>57095</v>
      </c>
      <c r="F10" s="7"/>
    </row>
    <row r="11" spans="1:6" ht="13.5" customHeight="1" x14ac:dyDescent="0.25">
      <c r="A11" s="8" t="str">
        <f t="shared" si="0"/>
        <v>TUES</v>
      </c>
      <c r="B11" s="9">
        <f t="shared" si="2"/>
        <v>45111</v>
      </c>
      <c r="C11" s="6">
        <v>17653</v>
      </c>
      <c r="D11" s="6">
        <v>17304</v>
      </c>
      <c r="E11" s="6">
        <f t="shared" si="1"/>
        <v>34957</v>
      </c>
      <c r="F11" s="7"/>
    </row>
    <row r="12" spans="1:6" ht="13.5" customHeight="1" x14ac:dyDescent="0.25">
      <c r="A12" s="3" t="str">
        <f t="shared" si="0"/>
        <v>WED</v>
      </c>
      <c r="B12" s="4">
        <f t="shared" si="2"/>
        <v>45112</v>
      </c>
      <c r="C12" s="5">
        <v>26768</v>
      </c>
      <c r="D12" s="5">
        <v>26004</v>
      </c>
      <c r="E12" s="6">
        <v>52772</v>
      </c>
      <c r="F12" s="7"/>
    </row>
    <row r="13" spans="1:6" ht="13.5" customHeight="1" x14ac:dyDescent="0.25">
      <c r="A13" s="3" t="str">
        <f t="shared" si="0"/>
        <v>THU</v>
      </c>
      <c r="B13" s="4">
        <f t="shared" si="2"/>
        <v>45113</v>
      </c>
      <c r="C13" s="5">
        <v>27695</v>
      </c>
      <c r="D13" s="5">
        <v>27264</v>
      </c>
      <c r="E13" s="6">
        <v>54959</v>
      </c>
      <c r="F13" s="7"/>
    </row>
    <row r="14" spans="1:6" ht="13.5" customHeight="1" x14ac:dyDescent="0.25">
      <c r="A14" s="3" t="str">
        <f t="shared" si="0"/>
        <v>FRI</v>
      </c>
      <c r="B14" s="4">
        <f t="shared" si="2"/>
        <v>45114</v>
      </c>
      <c r="C14" s="5">
        <v>26689</v>
      </c>
      <c r="D14" s="5">
        <v>26894</v>
      </c>
      <c r="E14" s="6">
        <v>53583</v>
      </c>
      <c r="F14" s="7"/>
    </row>
    <row r="15" spans="1:6" ht="13.5" customHeight="1" x14ac:dyDescent="0.25">
      <c r="A15" s="3" t="str">
        <f t="shared" si="0"/>
        <v>SAT</v>
      </c>
      <c r="B15" s="4">
        <f t="shared" si="2"/>
        <v>45115</v>
      </c>
      <c r="C15" s="5">
        <v>24333</v>
      </c>
      <c r="D15" s="5">
        <v>23558</v>
      </c>
      <c r="E15" s="6">
        <v>47891</v>
      </c>
      <c r="F15" s="7"/>
    </row>
    <row r="16" spans="1:6" ht="13.5" customHeight="1" x14ac:dyDescent="0.25">
      <c r="A16" s="3" t="str">
        <f t="shared" si="0"/>
        <v>SUN</v>
      </c>
      <c r="B16" s="4">
        <f t="shared" si="2"/>
        <v>45116</v>
      </c>
      <c r="C16" s="5">
        <v>18756</v>
      </c>
      <c r="D16" s="5">
        <v>17617</v>
      </c>
      <c r="E16" s="6">
        <v>36373</v>
      </c>
      <c r="F16" s="7"/>
    </row>
    <row r="17" spans="1:6" ht="13.5" customHeight="1" x14ac:dyDescent="0.25">
      <c r="A17" s="3" t="str">
        <f t="shared" si="0"/>
        <v>MON</v>
      </c>
      <c r="B17" s="4">
        <f t="shared" si="2"/>
        <v>45117</v>
      </c>
      <c r="C17" s="5">
        <v>25082</v>
      </c>
      <c r="D17" s="5">
        <v>25151</v>
      </c>
      <c r="E17" s="6">
        <v>50233</v>
      </c>
      <c r="F17" s="7"/>
    </row>
    <row r="18" spans="1:6" ht="13.5" customHeight="1" x14ac:dyDescent="0.25">
      <c r="A18" s="3" t="str">
        <f t="shared" si="0"/>
        <v>TUES</v>
      </c>
      <c r="B18" s="4">
        <f t="shared" si="2"/>
        <v>45118</v>
      </c>
      <c r="C18" s="5">
        <v>27469</v>
      </c>
      <c r="D18" s="5">
        <v>26539</v>
      </c>
      <c r="E18" s="6">
        <v>54008</v>
      </c>
      <c r="F18" s="7"/>
    </row>
    <row r="19" spans="1:6" ht="13.5" customHeight="1" x14ac:dyDescent="0.25">
      <c r="A19" s="3" t="str">
        <f t="shared" si="0"/>
        <v>WED</v>
      </c>
      <c r="B19" s="4">
        <f t="shared" si="2"/>
        <v>45119</v>
      </c>
      <c r="C19" s="5">
        <v>26188</v>
      </c>
      <c r="D19" s="5">
        <v>26110</v>
      </c>
      <c r="E19" s="6">
        <v>52298</v>
      </c>
      <c r="F19" s="7"/>
    </row>
    <row r="20" spans="1:6" ht="13.5" customHeight="1" x14ac:dyDescent="0.25">
      <c r="A20" s="3" t="str">
        <f t="shared" si="0"/>
        <v>THU</v>
      </c>
      <c r="B20" s="4">
        <f t="shared" si="2"/>
        <v>45120</v>
      </c>
      <c r="C20" s="5">
        <v>26464</v>
      </c>
      <c r="D20" s="5">
        <v>26235</v>
      </c>
      <c r="E20" s="6">
        <v>52699</v>
      </c>
      <c r="F20" s="7"/>
    </row>
    <row r="21" spans="1:6" ht="13.5" customHeight="1" x14ac:dyDescent="0.25">
      <c r="A21" s="3" t="str">
        <f t="shared" si="0"/>
        <v>FRI</v>
      </c>
      <c r="B21" s="4">
        <f t="shared" si="2"/>
        <v>45121</v>
      </c>
      <c r="C21" s="5">
        <v>24819</v>
      </c>
      <c r="D21" s="5">
        <v>24525</v>
      </c>
      <c r="E21" s="6">
        <v>49344</v>
      </c>
      <c r="F21" s="7"/>
    </row>
    <row r="22" spans="1:6" ht="13.5" customHeight="1" x14ac:dyDescent="0.25">
      <c r="A22" s="3" t="str">
        <f t="shared" si="0"/>
        <v>SAT</v>
      </c>
      <c r="B22" s="4">
        <f t="shared" si="2"/>
        <v>45122</v>
      </c>
      <c r="C22" s="5">
        <v>24311</v>
      </c>
      <c r="D22" s="5">
        <v>23944</v>
      </c>
      <c r="E22" s="6">
        <v>48255</v>
      </c>
      <c r="F22" s="7"/>
    </row>
    <row r="23" spans="1:6" ht="13.5" customHeight="1" x14ac:dyDescent="0.25">
      <c r="A23" s="3" t="str">
        <f t="shared" si="0"/>
        <v>SUN</v>
      </c>
      <c r="B23" s="4">
        <f t="shared" si="2"/>
        <v>45123</v>
      </c>
      <c r="C23" s="5">
        <v>13968</v>
      </c>
      <c r="D23" s="5">
        <v>13103</v>
      </c>
      <c r="E23" s="6">
        <v>27071</v>
      </c>
      <c r="F23" s="7"/>
    </row>
    <row r="24" spans="1:6" ht="13.5" customHeight="1" x14ac:dyDescent="0.3">
      <c r="A24" s="3" t="str">
        <f t="shared" si="0"/>
        <v>MON</v>
      </c>
      <c r="B24" s="4">
        <f t="shared" si="2"/>
        <v>45124</v>
      </c>
      <c r="C24" s="5">
        <v>28348</v>
      </c>
      <c r="D24" s="5">
        <v>28246</v>
      </c>
      <c r="E24" s="6">
        <v>56594</v>
      </c>
      <c r="F24" s="23"/>
    </row>
    <row r="25" spans="1:6" ht="13.5" customHeight="1" x14ac:dyDescent="0.3">
      <c r="A25" s="3" t="str">
        <f t="shared" si="0"/>
        <v>TUES</v>
      </c>
      <c r="B25" s="4">
        <f t="shared" si="2"/>
        <v>45125</v>
      </c>
      <c r="C25" s="5">
        <v>23762</v>
      </c>
      <c r="D25" s="5">
        <v>23546</v>
      </c>
      <c r="E25" s="6">
        <v>47308</v>
      </c>
      <c r="F25" s="23"/>
    </row>
    <row r="26" spans="1:6" ht="13.5" customHeight="1" x14ac:dyDescent="0.25">
      <c r="A26" s="3" t="str">
        <f t="shared" si="0"/>
        <v>WED</v>
      </c>
      <c r="B26" s="4">
        <f>B25+1</f>
        <v>45126</v>
      </c>
      <c r="C26" s="5">
        <v>25037</v>
      </c>
      <c r="D26" s="5">
        <v>24954</v>
      </c>
      <c r="E26" s="6">
        <v>49991</v>
      </c>
      <c r="F26" s="7"/>
    </row>
    <row r="27" spans="1:6" ht="13.5" customHeight="1" x14ac:dyDescent="0.25">
      <c r="A27" s="3" t="str">
        <f t="shared" si="0"/>
        <v>THU</v>
      </c>
      <c r="B27" s="4">
        <f t="shared" si="2"/>
        <v>45127</v>
      </c>
      <c r="C27" s="5">
        <v>28299</v>
      </c>
      <c r="D27" s="5">
        <v>27832</v>
      </c>
      <c r="E27" s="6">
        <v>56131</v>
      </c>
      <c r="F27" s="7"/>
    </row>
    <row r="28" spans="1:6" ht="13.5" customHeight="1" x14ac:dyDescent="0.25">
      <c r="A28" s="3" t="str">
        <f t="shared" si="0"/>
        <v>FRI</v>
      </c>
      <c r="B28" s="4">
        <f t="shared" si="2"/>
        <v>45128</v>
      </c>
      <c r="C28" s="5">
        <v>25387</v>
      </c>
      <c r="D28" s="5">
        <v>25134</v>
      </c>
      <c r="E28" s="6">
        <v>50521</v>
      </c>
      <c r="F28" s="7"/>
    </row>
    <row r="29" spans="1:6" ht="13.5" customHeight="1" x14ac:dyDescent="0.25">
      <c r="A29" s="3" t="str">
        <f t="shared" si="0"/>
        <v>SAT</v>
      </c>
      <c r="B29" s="4">
        <f t="shared" si="2"/>
        <v>45129</v>
      </c>
      <c r="C29" s="5">
        <v>27762</v>
      </c>
      <c r="D29" s="5">
        <v>27055</v>
      </c>
      <c r="E29" s="6">
        <v>54817</v>
      </c>
      <c r="F29" s="7"/>
    </row>
    <row r="30" spans="1:6" ht="13.5" customHeight="1" x14ac:dyDescent="0.25">
      <c r="A30" s="3" t="str">
        <f t="shared" si="0"/>
        <v>SUN</v>
      </c>
      <c r="B30" s="4">
        <f t="shared" si="2"/>
        <v>45130</v>
      </c>
      <c r="C30" s="5">
        <v>24895</v>
      </c>
      <c r="D30" s="5">
        <v>23684</v>
      </c>
      <c r="E30" s="6">
        <v>48579</v>
      </c>
      <c r="F30" s="7"/>
    </row>
    <row r="31" spans="1:6" ht="13.5" customHeight="1" x14ac:dyDescent="0.25">
      <c r="A31" s="3" t="str">
        <f t="shared" si="0"/>
        <v>MON</v>
      </c>
      <c r="B31" s="4">
        <f t="shared" si="2"/>
        <v>45131</v>
      </c>
      <c r="C31" s="5">
        <v>27352</v>
      </c>
      <c r="D31" s="5">
        <v>26882</v>
      </c>
      <c r="E31" s="6">
        <v>54234</v>
      </c>
      <c r="F31" s="7"/>
    </row>
    <row r="32" spans="1:6" ht="13.5" customHeight="1" x14ac:dyDescent="0.25">
      <c r="A32" s="3" t="str">
        <f t="shared" si="0"/>
        <v>TUES</v>
      </c>
      <c r="B32" s="4">
        <f t="shared" si="2"/>
        <v>45132</v>
      </c>
      <c r="C32" s="5">
        <v>24759</v>
      </c>
      <c r="D32" s="5">
        <v>24502</v>
      </c>
      <c r="E32" s="6">
        <v>49261</v>
      </c>
      <c r="F32" s="7"/>
    </row>
    <row r="33" spans="1:6" ht="13.5" customHeight="1" x14ac:dyDescent="0.25">
      <c r="A33" s="3" t="str">
        <f t="shared" si="0"/>
        <v>WED</v>
      </c>
      <c r="B33" s="4">
        <f t="shared" si="2"/>
        <v>45133</v>
      </c>
      <c r="C33" s="5">
        <v>27758</v>
      </c>
      <c r="D33" s="5">
        <v>27215</v>
      </c>
      <c r="E33" s="6">
        <v>54973</v>
      </c>
    </row>
    <row r="34" spans="1:6" ht="13.5" customHeight="1" x14ac:dyDescent="0.25">
      <c r="A34" s="3" t="str">
        <f t="shared" si="0"/>
        <v>THU</v>
      </c>
      <c r="B34" s="4">
        <f>B33+1</f>
        <v>45134</v>
      </c>
      <c r="C34" s="5">
        <v>26221</v>
      </c>
      <c r="D34" s="5">
        <v>25210</v>
      </c>
      <c r="E34" s="6">
        <v>51431</v>
      </c>
    </row>
    <row r="35" spans="1:6" ht="13.5" customHeight="1" x14ac:dyDescent="0.25">
      <c r="A35" s="3" t="str">
        <f t="shared" si="0"/>
        <v>FRI</v>
      </c>
      <c r="B35" s="4">
        <f>B34+1</f>
        <v>45135</v>
      </c>
      <c r="C35" s="5">
        <v>26537</v>
      </c>
      <c r="D35" s="5">
        <v>26093</v>
      </c>
      <c r="E35" s="6">
        <v>52630</v>
      </c>
    </row>
    <row r="36" spans="1:6" ht="13.5" customHeight="1" x14ac:dyDescent="0.25">
      <c r="A36" s="3" t="str">
        <f>CHOOSE(WEEKDAY(B36),"SUN","MON","TUES","WED","THU","FRI","SAT")</f>
        <v>SAT</v>
      </c>
      <c r="B36" s="4">
        <f>B35+1</f>
        <v>45136</v>
      </c>
      <c r="C36" s="5">
        <v>23727</v>
      </c>
      <c r="D36" s="5">
        <v>23147</v>
      </c>
      <c r="E36" s="6">
        <v>46874</v>
      </c>
    </row>
    <row r="37" spans="1:6" ht="13.5" customHeight="1" x14ac:dyDescent="0.25">
      <c r="A37" s="3" t="str">
        <f>CHOOSE(WEEKDAY(B37),"SUN","MON","TUES","WED","THU","FRI","SAT")</f>
        <v>SUN</v>
      </c>
      <c r="B37" s="4">
        <f t="shared" ref="B37:B38" si="3">B36+1</f>
        <v>45137</v>
      </c>
      <c r="C37" s="10">
        <v>24215</v>
      </c>
      <c r="D37" s="10">
        <v>23152</v>
      </c>
      <c r="E37" s="6">
        <v>47367</v>
      </c>
    </row>
    <row r="38" spans="1:6" ht="13.5" customHeight="1" x14ac:dyDescent="0.25">
      <c r="A38" s="3" t="str">
        <f>CHOOSE(WEEKDAY(B38),"SUN","MON","TUES","WED","THU","FRI","SAT")</f>
        <v>MON</v>
      </c>
      <c r="B38" s="4">
        <f t="shared" si="3"/>
        <v>45138</v>
      </c>
      <c r="C38" s="10">
        <v>26632</v>
      </c>
      <c r="D38" s="10">
        <v>26146</v>
      </c>
      <c r="E38" s="6">
        <v>52778</v>
      </c>
    </row>
    <row r="39" spans="1:6" ht="13.8" thickBot="1" x14ac:dyDescent="0.3">
      <c r="A39" s="24" t="s">
        <v>5</v>
      </c>
      <c r="B39" s="25"/>
      <c r="C39" s="11">
        <f>SUM(C7:C38)</f>
        <v>777331</v>
      </c>
      <c r="D39" s="11">
        <f>SUM(D7:D38)</f>
        <v>761791</v>
      </c>
      <c r="E39" s="11">
        <f>SUM(E7:E38)</f>
        <v>1539122</v>
      </c>
      <c r="F39" s="12"/>
    </row>
    <row r="40" spans="1:6" ht="13.8" thickBot="1" x14ac:dyDescent="0.3">
      <c r="B40" s="13"/>
      <c r="C40" s="14"/>
      <c r="D40" s="14"/>
      <c r="E40" s="15"/>
    </row>
    <row r="41" spans="1:6" ht="13.8" thickBot="1" x14ac:dyDescent="0.3">
      <c r="A41" s="26" t="s">
        <v>6</v>
      </c>
      <c r="B41" s="27"/>
      <c r="C41" s="27"/>
      <c r="D41" s="27"/>
      <c r="E41" s="16">
        <f>E39</f>
        <v>1539122</v>
      </c>
    </row>
  </sheetData>
  <mergeCells count="8">
    <mergeCell ref="A39:B39"/>
    <mergeCell ref="A41:D41"/>
    <mergeCell ref="A4:E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D2DD-F5F8-40CA-9BF5-4904AD70FAA2}">
  <dimension ref="A2:F52"/>
  <sheetViews>
    <sheetView zoomScaleNormal="100" workbookViewId="0">
      <selection activeCell="A35" sqref="A35:A36"/>
    </sheetView>
  </sheetViews>
  <sheetFormatPr defaultRowHeight="13.2" x14ac:dyDescent="0.25"/>
  <cols>
    <col min="1" max="1" width="8.33203125" style="1" customWidth="1"/>
    <col min="2" max="2" width="11.44140625" style="1" customWidth="1"/>
    <col min="3" max="4" width="13" style="1" customWidth="1"/>
    <col min="5" max="5" width="14" style="1" customWidth="1"/>
    <col min="6" max="6" width="28.109375" style="1" customWidth="1"/>
    <col min="7" max="255" width="9.109375" style="1"/>
    <col min="256" max="256" width="8.33203125" style="1" customWidth="1"/>
    <col min="257" max="257" width="11.44140625" style="1" customWidth="1"/>
    <col min="258" max="259" width="13" style="1" customWidth="1"/>
    <col min="260" max="260" width="14" style="1" customWidth="1"/>
    <col min="261" max="261" width="10.33203125" style="1" bestFit="1" customWidth="1"/>
    <col min="262" max="511" width="9.109375" style="1"/>
    <col min="512" max="512" width="8.33203125" style="1" customWidth="1"/>
    <col min="513" max="513" width="11.44140625" style="1" customWidth="1"/>
    <col min="514" max="515" width="13" style="1" customWidth="1"/>
    <col min="516" max="516" width="14" style="1" customWidth="1"/>
    <col min="517" max="517" width="10.33203125" style="1" bestFit="1" customWidth="1"/>
    <col min="518" max="767" width="9.109375" style="1"/>
    <col min="768" max="768" width="8.33203125" style="1" customWidth="1"/>
    <col min="769" max="769" width="11.44140625" style="1" customWidth="1"/>
    <col min="770" max="771" width="13" style="1" customWidth="1"/>
    <col min="772" max="772" width="14" style="1" customWidth="1"/>
    <col min="773" max="773" width="10.33203125" style="1" bestFit="1" customWidth="1"/>
    <col min="774" max="1023" width="9.109375" style="1"/>
    <col min="1024" max="1024" width="8.33203125" style="1" customWidth="1"/>
    <col min="1025" max="1025" width="11.44140625" style="1" customWidth="1"/>
    <col min="1026" max="1027" width="13" style="1" customWidth="1"/>
    <col min="1028" max="1028" width="14" style="1" customWidth="1"/>
    <col min="1029" max="1029" width="10.33203125" style="1" bestFit="1" customWidth="1"/>
    <col min="1030" max="1279" width="9.109375" style="1"/>
    <col min="1280" max="1280" width="8.33203125" style="1" customWidth="1"/>
    <col min="1281" max="1281" width="11.44140625" style="1" customWidth="1"/>
    <col min="1282" max="1283" width="13" style="1" customWidth="1"/>
    <col min="1284" max="1284" width="14" style="1" customWidth="1"/>
    <col min="1285" max="1285" width="10.33203125" style="1" bestFit="1" customWidth="1"/>
    <col min="1286" max="1535" width="9.109375" style="1"/>
    <col min="1536" max="1536" width="8.33203125" style="1" customWidth="1"/>
    <col min="1537" max="1537" width="11.44140625" style="1" customWidth="1"/>
    <col min="1538" max="1539" width="13" style="1" customWidth="1"/>
    <col min="1540" max="1540" width="14" style="1" customWidth="1"/>
    <col min="1541" max="1541" width="10.33203125" style="1" bestFit="1" customWidth="1"/>
    <col min="1542" max="1791" width="9.109375" style="1"/>
    <col min="1792" max="1792" width="8.33203125" style="1" customWidth="1"/>
    <col min="1793" max="1793" width="11.44140625" style="1" customWidth="1"/>
    <col min="1794" max="1795" width="13" style="1" customWidth="1"/>
    <col min="1796" max="1796" width="14" style="1" customWidth="1"/>
    <col min="1797" max="1797" width="10.33203125" style="1" bestFit="1" customWidth="1"/>
    <col min="1798" max="2047" width="9.109375" style="1"/>
    <col min="2048" max="2048" width="8.33203125" style="1" customWidth="1"/>
    <col min="2049" max="2049" width="11.44140625" style="1" customWidth="1"/>
    <col min="2050" max="2051" width="13" style="1" customWidth="1"/>
    <col min="2052" max="2052" width="14" style="1" customWidth="1"/>
    <col min="2053" max="2053" width="10.33203125" style="1" bestFit="1" customWidth="1"/>
    <col min="2054" max="2303" width="9.109375" style="1"/>
    <col min="2304" max="2304" width="8.33203125" style="1" customWidth="1"/>
    <col min="2305" max="2305" width="11.44140625" style="1" customWidth="1"/>
    <col min="2306" max="2307" width="13" style="1" customWidth="1"/>
    <col min="2308" max="2308" width="14" style="1" customWidth="1"/>
    <col min="2309" max="2309" width="10.33203125" style="1" bestFit="1" customWidth="1"/>
    <col min="2310" max="2559" width="9.109375" style="1"/>
    <col min="2560" max="2560" width="8.33203125" style="1" customWidth="1"/>
    <col min="2561" max="2561" width="11.44140625" style="1" customWidth="1"/>
    <col min="2562" max="2563" width="13" style="1" customWidth="1"/>
    <col min="2564" max="2564" width="14" style="1" customWidth="1"/>
    <col min="2565" max="2565" width="10.33203125" style="1" bestFit="1" customWidth="1"/>
    <col min="2566" max="2815" width="9.109375" style="1"/>
    <col min="2816" max="2816" width="8.33203125" style="1" customWidth="1"/>
    <col min="2817" max="2817" width="11.44140625" style="1" customWidth="1"/>
    <col min="2818" max="2819" width="13" style="1" customWidth="1"/>
    <col min="2820" max="2820" width="14" style="1" customWidth="1"/>
    <col min="2821" max="2821" width="10.33203125" style="1" bestFit="1" customWidth="1"/>
    <col min="2822" max="3071" width="9.109375" style="1"/>
    <col min="3072" max="3072" width="8.33203125" style="1" customWidth="1"/>
    <col min="3073" max="3073" width="11.44140625" style="1" customWidth="1"/>
    <col min="3074" max="3075" width="13" style="1" customWidth="1"/>
    <col min="3076" max="3076" width="14" style="1" customWidth="1"/>
    <col min="3077" max="3077" width="10.33203125" style="1" bestFit="1" customWidth="1"/>
    <col min="3078" max="3327" width="9.109375" style="1"/>
    <col min="3328" max="3328" width="8.33203125" style="1" customWidth="1"/>
    <col min="3329" max="3329" width="11.44140625" style="1" customWidth="1"/>
    <col min="3330" max="3331" width="13" style="1" customWidth="1"/>
    <col min="3332" max="3332" width="14" style="1" customWidth="1"/>
    <col min="3333" max="3333" width="10.33203125" style="1" bestFit="1" customWidth="1"/>
    <col min="3334" max="3583" width="9.109375" style="1"/>
    <col min="3584" max="3584" width="8.33203125" style="1" customWidth="1"/>
    <col min="3585" max="3585" width="11.44140625" style="1" customWidth="1"/>
    <col min="3586" max="3587" width="13" style="1" customWidth="1"/>
    <col min="3588" max="3588" width="14" style="1" customWidth="1"/>
    <col min="3589" max="3589" width="10.33203125" style="1" bestFit="1" customWidth="1"/>
    <col min="3590" max="3839" width="9.109375" style="1"/>
    <col min="3840" max="3840" width="8.33203125" style="1" customWidth="1"/>
    <col min="3841" max="3841" width="11.44140625" style="1" customWidth="1"/>
    <col min="3842" max="3843" width="13" style="1" customWidth="1"/>
    <col min="3844" max="3844" width="14" style="1" customWidth="1"/>
    <col min="3845" max="3845" width="10.33203125" style="1" bestFit="1" customWidth="1"/>
    <col min="3846" max="4095" width="9.109375" style="1"/>
    <col min="4096" max="4096" width="8.33203125" style="1" customWidth="1"/>
    <col min="4097" max="4097" width="11.44140625" style="1" customWidth="1"/>
    <col min="4098" max="4099" width="13" style="1" customWidth="1"/>
    <col min="4100" max="4100" width="14" style="1" customWidth="1"/>
    <col min="4101" max="4101" width="10.33203125" style="1" bestFit="1" customWidth="1"/>
    <col min="4102" max="4351" width="9.109375" style="1"/>
    <col min="4352" max="4352" width="8.33203125" style="1" customWidth="1"/>
    <col min="4353" max="4353" width="11.44140625" style="1" customWidth="1"/>
    <col min="4354" max="4355" width="13" style="1" customWidth="1"/>
    <col min="4356" max="4356" width="14" style="1" customWidth="1"/>
    <col min="4357" max="4357" width="10.33203125" style="1" bestFit="1" customWidth="1"/>
    <col min="4358" max="4607" width="9.109375" style="1"/>
    <col min="4608" max="4608" width="8.33203125" style="1" customWidth="1"/>
    <col min="4609" max="4609" width="11.44140625" style="1" customWidth="1"/>
    <col min="4610" max="4611" width="13" style="1" customWidth="1"/>
    <col min="4612" max="4612" width="14" style="1" customWidth="1"/>
    <col min="4613" max="4613" width="10.33203125" style="1" bestFit="1" customWidth="1"/>
    <col min="4614" max="4863" width="9.109375" style="1"/>
    <col min="4864" max="4864" width="8.33203125" style="1" customWidth="1"/>
    <col min="4865" max="4865" width="11.44140625" style="1" customWidth="1"/>
    <col min="4866" max="4867" width="13" style="1" customWidth="1"/>
    <col min="4868" max="4868" width="14" style="1" customWidth="1"/>
    <col min="4869" max="4869" width="10.33203125" style="1" bestFit="1" customWidth="1"/>
    <col min="4870" max="5119" width="9.109375" style="1"/>
    <col min="5120" max="5120" width="8.33203125" style="1" customWidth="1"/>
    <col min="5121" max="5121" width="11.44140625" style="1" customWidth="1"/>
    <col min="5122" max="5123" width="13" style="1" customWidth="1"/>
    <col min="5124" max="5124" width="14" style="1" customWidth="1"/>
    <col min="5125" max="5125" width="10.33203125" style="1" bestFit="1" customWidth="1"/>
    <col min="5126" max="5375" width="9.109375" style="1"/>
    <col min="5376" max="5376" width="8.33203125" style="1" customWidth="1"/>
    <col min="5377" max="5377" width="11.44140625" style="1" customWidth="1"/>
    <col min="5378" max="5379" width="13" style="1" customWidth="1"/>
    <col min="5380" max="5380" width="14" style="1" customWidth="1"/>
    <col min="5381" max="5381" width="10.33203125" style="1" bestFit="1" customWidth="1"/>
    <col min="5382" max="5631" width="9.109375" style="1"/>
    <col min="5632" max="5632" width="8.33203125" style="1" customWidth="1"/>
    <col min="5633" max="5633" width="11.44140625" style="1" customWidth="1"/>
    <col min="5634" max="5635" width="13" style="1" customWidth="1"/>
    <col min="5636" max="5636" width="14" style="1" customWidth="1"/>
    <col min="5637" max="5637" width="10.33203125" style="1" bestFit="1" customWidth="1"/>
    <col min="5638" max="5887" width="9.109375" style="1"/>
    <col min="5888" max="5888" width="8.33203125" style="1" customWidth="1"/>
    <col min="5889" max="5889" width="11.44140625" style="1" customWidth="1"/>
    <col min="5890" max="5891" width="13" style="1" customWidth="1"/>
    <col min="5892" max="5892" width="14" style="1" customWidth="1"/>
    <col min="5893" max="5893" width="10.33203125" style="1" bestFit="1" customWidth="1"/>
    <col min="5894" max="6143" width="9.109375" style="1"/>
    <col min="6144" max="6144" width="8.33203125" style="1" customWidth="1"/>
    <col min="6145" max="6145" width="11.44140625" style="1" customWidth="1"/>
    <col min="6146" max="6147" width="13" style="1" customWidth="1"/>
    <col min="6148" max="6148" width="14" style="1" customWidth="1"/>
    <col min="6149" max="6149" width="10.33203125" style="1" bestFit="1" customWidth="1"/>
    <col min="6150" max="6399" width="9.109375" style="1"/>
    <col min="6400" max="6400" width="8.33203125" style="1" customWidth="1"/>
    <col min="6401" max="6401" width="11.44140625" style="1" customWidth="1"/>
    <col min="6402" max="6403" width="13" style="1" customWidth="1"/>
    <col min="6404" max="6404" width="14" style="1" customWidth="1"/>
    <col min="6405" max="6405" width="10.33203125" style="1" bestFit="1" customWidth="1"/>
    <col min="6406" max="6655" width="9.109375" style="1"/>
    <col min="6656" max="6656" width="8.33203125" style="1" customWidth="1"/>
    <col min="6657" max="6657" width="11.44140625" style="1" customWidth="1"/>
    <col min="6658" max="6659" width="13" style="1" customWidth="1"/>
    <col min="6660" max="6660" width="14" style="1" customWidth="1"/>
    <col min="6661" max="6661" width="10.33203125" style="1" bestFit="1" customWidth="1"/>
    <col min="6662" max="6911" width="9.109375" style="1"/>
    <col min="6912" max="6912" width="8.33203125" style="1" customWidth="1"/>
    <col min="6913" max="6913" width="11.44140625" style="1" customWidth="1"/>
    <col min="6914" max="6915" width="13" style="1" customWidth="1"/>
    <col min="6916" max="6916" width="14" style="1" customWidth="1"/>
    <col min="6917" max="6917" width="10.33203125" style="1" bestFit="1" customWidth="1"/>
    <col min="6918" max="7167" width="9.109375" style="1"/>
    <col min="7168" max="7168" width="8.33203125" style="1" customWidth="1"/>
    <col min="7169" max="7169" width="11.44140625" style="1" customWidth="1"/>
    <col min="7170" max="7171" width="13" style="1" customWidth="1"/>
    <col min="7172" max="7172" width="14" style="1" customWidth="1"/>
    <col min="7173" max="7173" width="10.33203125" style="1" bestFit="1" customWidth="1"/>
    <col min="7174" max="7423" width="9.109375" style="1"/>
    <col min="7424" max="7424" width="8.33203125" style="1" customWidth="1"/>
    <col min="7425" max="7425" width="11.44140625" style="1" customWidth="1"/>
    <col min="7426" max="7427" width="13" style="1" customWidth="1"/>
    <col min="7428" max="7428" width="14" style="1" customWidth="1"/>
    <col min="7429" max="7429" width="10.33203125" style="1" bestFit="1" customWidth="1"/>
    <col min="7430" max="7679" width="9.109375" style="1"/>
    <col min="7680" max="7680" width="8.33203125" style="1" customWidth="1"/>
    <col min="7681" max="7681" width="11.44140625" style="1" customWidth="1"/>
    <col min="7682" max="7683" width="13" style="1" customWidth="1"/>
    <col min="7684" max="7684" width="14" style="1" customWidth="1"/>
    <col min="7685" max="7685" width="10.33203125" style="1" bestFit="1" customWidth="1"/>
    <col min="7686" max="7935" width="9.109375" style="1"/>
    <col min="7936" max="7936" width="8.33203125" style="1" customWidth="1"/>
    <col min="7937" max="7937" width="11.44140625" style="1" customWidth="1"/>
    <col min="7938" max="7939" width="13" style="1" customWidth="1"/>
    <col min="7940" max="7940" width="14" style="1" customWidth="1"/>
    <col min="7941" max="7941" width="10.33203125" style="1" bestFit="1" customWidth="1"/>
    <col min="7942" max="8191" width="9.109375" style="1"/>
    <col min="8192" max="8192" width="8.33203125" style="1" customWidth="1"/>
    <col min="8193" max="8193" width="11.44140625" style="1" customWidth="1"/>
    <col min="8194" max="8195" width="13" style="1" customWidth="1"/>
    <col min="8196" max="8196" width="14" style="1" customWidth="1"/>
    <col min="8197" max="8197" width="10.33203125" style="1" bestFit="1" customWidth="1"/>
    <col min="8198" max="8447" width="9.109375" style="1"/>
    <col min="8448" max="8448" width="8.33203125" style="1" customWidth="1"/>
    <col min="8449" max="8449" width="11.44140625" style="1" customWidth="1"/>
    <col min="8450" max="8451" width="13" style="1" customWidth="1"/>
    <col min="8452" max="8452" width="14" style="1" customWidth="1"/>
    <col min="8453" max="8453" width="10.33203125" style="1" bestFit="1" customWidth="1"/>
    <col min="8454" max="8703" width="9.109375" style="1"/>
    <col min="8704" max="8704" width="8.33203125" style="1" customWidth="1"/>
    <col min="8705" max="8705" width="11.44140625" style="1" customWidth="1"/>
    <col min="8706" max="8707" width="13" style="1" customWidth="1"/>
    <col min="8708" max="8708" width="14" style="1" customWidth="1"/>
    <col min="8709" max="8709" width="10.33203125" style="1" bestFit="1" customWidth="1"/>
    <col min="8710" max="8959" width="9.109375" style="1"/>
    <col min="8960" max="8960" width="8.33203125" style="1" customWidth="1"/>
    <col min="8961" max="8961" width="11.44140625" style="1" customWidth="1"/>
    <col min="8962" max="8963" width="13" style="1" customWidth="1"/>
    <col min="8964" max="8964" width="14" style="1" customWidth="1"/>
    <col min="8965" max="8965" width="10.33203125" style="1" bestFit="1" customWidth="1"/>
    <col min="8966" max="9215" width="9.109375" style="1"/>
    <col min="9216" max="9216" width="8.33203125" style="1" customWidth="1"/>
    <col min="9217" max="9217" width="11.44140625" style="1" customWidth="1"/>
    <col min="9218" max="9219" width="13" style="1" customWidth="1"/>
    <col min="9220" max="9220" width="14" style="1" customWidth="1"/>
    <col min="9221" max="9221" width="10.33203125" style="1" bestFit="1" customWidth="1"/>
    <col min="9222" max="9471" width="9.109375" style="1"/>
    <col min="9472" max="9472" width="8.33203125" style="1" customWidth="1"/>
    <col min="9473" max="9473" width="11.44140625" style="1" customWidth="1"/>
    <col min="9474" max="9475" width="13" style="1" customWidth="1"/>
    <col min="9476" max="9476" width="14" style="1" customWidth="1"/>
    <col min="9477" max="9477" width="10.33203125" style="1" bestFit="1" customWidth="1"/>
    <col min="9478" max="9727" width="9.109375" style="1"/>
    <col min="9728" max="9728" width="8.33203125" style="1" customWidth="1"/>
    <col min="9729" max="9729" width="11.44140625" style="1" customWidth="1"/>
    <col min="9730" max="9731" width="13" style="1" customWidth="1"/>
    <col min="9732" max="9732" width="14" style="1" customWidth="1"/>
    <col min="9733" max="9733" width="10.33203125" style="1" bestFit="1" customWidth="1"/>
    <col min="9734" max="9983" width="9.109375" style="1"/>
    <col min="9984" max="9984" width="8.33203125" style="1" customWidth="1"/>
    <col min="9985" max="9985" width="11.44140625" style="1" customWidth="1"/>
    <col min="9986" max="9987" width="13" style="1" customWidth="1"/>
    <col min="9988" max="9988" width="14" style="1" customWidth="1"/>
    <col min="9989" max="9989" width="10.33203125" style="1" bestFit="1" customWidth="1"/>
    <col min="9990" max="10239" width="9.109375" style="1"/>
    <col min="10240" max="10240" width="8.33203125" style="1" customWidth="1"/>
    <col min="10241" max="10241" width="11.44140625" style="1" customWidth="1"/>
    <col min="10242" max="10243" width="13" style="1" customWidth="1"/>
    <col min="10244" max="10244" width="14" style="1" customWidth="1"/>
    <col min="10245" max="10245" width="10.33203125" style="1" bestFit="1" customWidth="1"/>
    <col min="10246" max="10495" width="9.109375" style="1"/>
    <col min="10496" max="10496" width="8.33203125" style="1" customWidth="1"/>
    <col min="10497" max="10497" width="11.44140625" style="1" customWidth="1"/>
    <col min="10498" max="10499" width="13" style="1" customWidth="1"/>
    <col min="10500" max="10500" width="14" style="1" customWidth="1"/>
    <col min="10501" max="10501" width="10.33203125" style="1" bestFit="1" customWidth="1"/>
    <col min="10502" max="10751" width="9.109375" style="1"/>
    <col min="10752" max="10752" width="8.33203125" style="1" customWidth="1"/>
    <col min="10753" max="10753" width="11.44140625" style="1" customWidth="1"/>
    <col min="10754" max="10755" width="13" style="1" customWidth="1"/>
    <col min="10756" max="10756" width="14" style="1" customWidth="1"/>
    <col min="10757" max="10757" width="10.33203125" style="1" bestFit="1" customWidth="1"/>
    <col min="10758" max="11007" width="9.109375" style="1"/>
    <col min="11008" max="11008" width="8.33203125" style="1" customWidth="1"/>
    <col min="11009" max="11009" width="11.44140625" style="1" customWidth="1"/>
    <col min="11010" max="11011" width="13" style="1" customWidth="1"/>
    <col min="11012" max="11012" width="14" style="1" customWidth="1"/>
    <col min="11013" max="11013" width="10.33203125" style="1" bestFit="1" customWidth="1"/>
    <col min="11014" max="11263" width="9.109375" style="1"/>
    <col min="11264" max="11264" width="8.33203125" style="1" customWidth="1"/>
    <col min="11265" max="11265" width="11.44140625" style="1" customWidth="1"/>
    <col min="11266" max="11267" width="13" style="1" customWidth="1"/>
    <col min="11268" max="11268" width="14" style="1" customWidth="1"/>
    <col min="11269" max="11269" width="10.33203125" style="1" bestFit="1" customWidth="1"/>
    <col min="11270" max="11519" width="9.109375" style="1"/>
    <col min="11520" max="11520" width="8.33203125" style="1" customWidth="1"/>
    <col min="11521" max="11521" width="11.44140625" style="1" customWidth="1"/>
    <col min="11522" max="11523" width="13" style="1" customWidth="1"/>
    <col min="11524" max="11524" width="14" style="1" customWidth="1"/>
    <col min="11525" max="11525" width="10.33203125" style="1" bestFit="1" customWidth="1"/>
    <col min="11526" max="11775" width="9.109375" style="1"/>
    <col min="11776" max="11776" width="8.33203125" style="1" customWidth="1"/>
    <col min="11777" max="11777" width="11.44140625" style="1" customWidth="1"/>
    <col min="11778" max="11779" width="13" style="1" customWidth="1"/>
    <col min="11780" max="11780" width="14" style="1" customWidth="1"/>
    <col min="11781" max="11781" width="10.33203125" style="1" bestFit="1" customWidth="1"/>
    <col min="11782" max="12031" width="9.109375" style="1"/>
    <col min="12032" max="12032" width="8.33203125" style="1" customWidth="1"/>
    <col min="12033" max="12033" width="11.44140625" style="1" customWidth="1"/>
    <col min="12034" max="12035" width="13" style="1" customWidth="1"/>
    <col min="12036" max="12036" width="14" style="1" customWidth="1"/>
    <col min="12037" max="12037" width="10.33203125" style="1" bestFit="1" customWidth="1"/>
    <col min="12038" max="12287" width="9.109375" style="1"/>
    <col min="12288" max="12288" width="8.33203125" style="1" customWidth="1"/>
    <col min="12289" max="12289" width="11.44140625" style="1" customWidth="1"/>
    <col min="12290" max="12291" width="13" style="1" customWidth="1"/>
    <col min="12292" max="12292" width="14" style="1" customWidth="1"/>
    <col min="12293" max="12293" width="10.33203125" style="1" bestFit="1" customWidth="1"/>
    <col min="12294" max="12543" width="9.109375" style="1"/>
    <col min="12544" max="12544" width="8.33203125" style="1" customWidth="1"/>
    <col min="12545" max="12545" width="11.44140625" style="1" customWidth="1"/>
    <col min="12546" max="12547" width="13" style="1" customWidth="1"/>
    <col min="12548" max="12548" width="14" style="1" customWidth="1"/>
    <col min="12549" max="12549" width="10.33203125" style="1" bestFit="1" customWidth="1"/>
    <col min="12550" max="12799" width="9.109375" style="1"/>
    <col min="12800" max="12800" width="8.33203125" style="1" customWidth="1"/>
    <col min="12801" max="12801" width="11.44140625" style="1" customWidth="1"/>
    <col min="12802" max="12803" width="13" style="1" customWidth="1"/>
    <col min="12804" max="12804" width="14" style="1" customWidth="1"/>
    <col min="12805" max="12805" width="10.33203125" style="1" bestFit="1" customWidth="1"/>
    <col min="12806" max="13055" width="9.109375" style="1"/>
    <col min="13056" max="13056" width="8.33203125" style="1" customWidth="1"/>
    <col min="13057" max="13057" width="11.44140625" style="1" customWidth="1"/>
    <col min="13058" max="13059" width="13" style="1" customWidth="1"/>
    <col min="13060" max="13060" width="14" style="1" customWidth="1"/>
    <col min="13061" max="13061" width="10.33203125" style="1" bestFit="1" customWidth="1"/>
    <col min="13062" max="13311" width="9.109375" style="1"/>
    <col min="13312" max="13312" width="8.33203125" style="1" customWidth="1"/>
    <col min="13313" max="13313" width="11.44140625" style="1" customWidth="1"/>
    <col min="13314" max="13315" width="13" style="1" customWidth="1"/>
    <col min="13316" max="13316" width="14" style="1" customWidth="1"/>
    <col min="13317" max="13317" width="10.33203125" style="1" bestFit="1" customWidth="1"/>
    <col min="13318" max="13567" width="9.109375" style="1"/>
    <col min="13568" max="13568" width="8.33203125" style="1" customWidth="1"/>
    <col min="13569" max="13569" width="11.44140625" style="1" customWidth="1"/>
    <col min="13570" max="13571" width="13" style="1" customWidth="1"/>
    <col min="13572" max="13572" width="14" style="1" customWidth="1"/>
    <col min="13573" max="13573" width="10.33203125" style="1" bestFit="1" customWidth="1"/>
    <col min="13574" max="13823" width="9.109375" style="1"/>
    <col min="13824" max="13824" width="8.33203125" style="1" customWidth="1"/>
    <col min="13825" max="13825" width="11.44140625" style="1" customWidth="1"/>
    <col min="13826" max="13827" width="13" style="1" customWidth="1"/>
    <col min="13828" max="13828" width="14" style="1" customWidth="1"/>
    <col min="13829" max="13829" width="10.33203125" style="1" bestFit="1" customWidth="1"/>
    <col min="13830" max="14079" width="9.109375" style="1"/>
    <col min="14080" max="14080" width="8.33203125" style="1" customWidth="1"/>
    <col min="14081" max="14081" width="11.44140625" style="1" customWidth="1"/>
    <col min="14082" max="14083" width="13" style="1" customWidth="1"/>
    <col min="14084" max="14084" width="14" style="1" customWidth="1"/>
    <col min="14085" max="14085" width="10.33203125" style="1" bestFit="1" customWidth="1"/>
    <col min="14086" max="14335" width="9.109375" style="1"/>
    <col min="14336" max="14336" width="8.33203125" style="1" customWidth="1"/>
    <col min="14337" max="14337" width="11.44140625" style="1" customWidth="1"/>
    <col min="14338" max="14339" width="13" style="1" customWidth="1"/>
    <col min="14340" max="14340" width="14" style="1" customWidth="1"/>
    <col min="14341" max="14341" width="10.33203125" style="1" bestFit="1" customWidth="1"/>
    <col min="14342" max="14591" width="9.109375" style="1"/>
    <col min="14592" max="14592" width="8.33203125" style="1" customWidth="1"/>
    <col min="14593" max="14593" width="11.44140625" style="1" customWidth="1"/>
    <col min="14594" max="14595" width="13" style="1" customWidth="1"/>
    <col min="14596" max="14596" width="14" style="1" customWidth="1"/>
    <col min="14597" max="14597" width="10.33203125" style="1" bestFit="1" customWidth="1"/>
    <col min="14598" max="14847" width="9.109375" style="1"/>
    <col min="14848" max="14848" width="8.33203125" style="1" customWidth="1"/>
    <col min="14849" max="14849" width="11.44140625" style="1" customWidth="1"/>
    <col min="14850" max="14851" width="13" style="1" customWidth="1"/>
    <col min="14852" max="14852" width="14" style="1" customWidth="1"/>
    <col min="14853" max="14853" width="10.33203125" style="1" bestFit="1" customWidth="1"/>
    <col min="14854" max="15103" width="9.109375" style="1"/>
    <col min="15104" max="15104" width="8.33203125" style="1" customWidth="1"/>
    <col min="15105" max="15105" width="11.44140625" style="1" customWidth="1"/>
    <col min="15106" max="15107" width="13" style="1" customWidth="1"/>
    <col min="15108" max="15108" width="14" style="1" customWidth="1"/>
    <col min="15109" max="15109" width="10.33203125" style="1" bestFit="1" customWidth="1"/>
    <col min="15110" max="15359" width="9.109375" style="1"/>
    <col min="15360" max="15360" width="8.33203125" style="1" customWidth="1"/>
    <col min="15361" max="15361" width="11.44140625" style="1" customWidth="1"/>
    <col min="15362" max="15363" width="13" style="1" customWidth="1"/>
    <col min="15364" max="15364" width="14" style="1" customWidth="1"/>
    <col min="15365" max="15365" width="10.33203125" style="1" bestFit="1" customWidth="1"/>
    <col min="15366" max="15615" width="9.109375" style="1"/>
    <col min="15616" max="15616" width="8.33203125" style="1" customWidth="1"/>
    <col min="15617" max="15617" width="11.44140625" style="1" customWidth="1"/>
    <col min="15618" max="15619" width="13" style="1" customWidth="1"/>
    <col min="15620" max="15620" width="14" style="1" customWidth="1"/>
    <col min="15621" max="15621" width="10.33203125" style="1" bestFit="1" customWidth="1"/>
    <col min="15622" max="15871" width="9.109375" style="1"/>
    <col min="15872" max="15872" width="8.33203125" style="1" customWidth="1"/>
    <col min="15873" max="15873" width="11.44140625" style="1" customWidth="1"/>
    <col min="15874" max="15875" width="13" style="1" customWidth="1"/>
    <col min="15876" max="15876" width="14" style="1" customWidth="1"/>
    <col min="15877" max="15877" width="10.33203125" style="1" bestFit="1" customWidth="1"/>
    <col min="15878" max="16127" width="9.109375" style="1"/>
    <col min="16128" max="16128" width="8.33203125" style="1" customWidth="1"/>
    <col min="16129" max="16129" width="11.44140625" style="1" customWidth="1"/>
    <col min="16130" max="16131" width="13" style="1" customWidth="1"/>
    <col min="16132" max="16132" width="14" style="1" customWidth="1"/>
    <col min="16133" max="16133" width="10.33203125" style="1" bestFit="1" customWidth="1"/>
    <col min="16134" max="16383" width="9.109375" style="1"/>
    <col min="16384" max="16384" width="9.109375" style="1" customWidth="1"/>
  </cols>
  <sheetData>
    <row r="2" spans="1:6" x14ac:dyDescent="0.25">
      <c r="A2" s="39" t="s">
        <v>15</v>
      </c>
      <c r="B2" s="39"/>
      <c r="C2" s="39"/>
      <c r="D2" s="39"/>
      <c r="E2" s="39"/>
    </row>
    <row r="3" spans="1:6" x14ac:dyDescent="0.25">
      <c r="A3" s="32" t="s">
        <v>0</v>
      </c>
      <c r="B3" s="32" t="s">
        <v>1</v>
      </c>
      <c r="C3" s="34" t="s">
        <v>2</v>
      </c>
      <c r="D3" s="32" t="s">
        <v>3</v>
      </c>
      <c r="E3" s="40" t="s">
        <v>4</v>
      </c>
    </row>
    <row r="4" spans="1:6" x14ac:dyDescent="0.25">
      <c r="A4" s="32"/>
      <c r="B4" s="32"/>
      <c r="C4" s="34"/>
      <c r="D4" s="32"/>
      <c r="E4" s="40"/>
    </row>
    <row r="5" spans="1:6" x14ac:dyDescent="0.25">
      <c r="A5" s="3" t="s">
        <v>8</v>
      </c>
      <c r="B5" s="17">
        <v>45110</v>
      </c>
      <c r="C5" s="5">
        <v>28763</v>
      </c>
      <c r="D5" s="5">
        <v>28832</v>
      </c>
      <c r="E5" s="6">
        <f>SUM(C5:D5)</f>
        <v>57595</v>
      </c>
    </row>
    <row r="6" spans="1:6" x14ac:dyDescent="0.25">
      <c r="A6" s="8" t="s">
        <v>19</v>
      </c>
      <c r="B6" s="22">
        <v>45111</v>
      </c>
      <c r="C6" s="5">
        <v>17653</v>
      </c>
      <c r="D6" s="5">
        <v>17304</v>
      </c>
      <c r="E6" s="6">
        <f t="shared" ref="E6:E25" si="0">SUM(C6:D6)</f>
        <v>34957</v>
      </c>
    </row>
    <row r="7" spans="1:6" x14ac:dyDescent="0.25">
      <c r="A7" s="3" t="s">
        <v>9</v>
      </c>
      <c r="B7" s="17">
        <v>45112</v>
      </c>
      <c r="C7" s="5">
        <v>26768</v>
      </c>
      <c r="D7" s="5">
        <v>26004</v>
      </c>
      <c r="E7" s="6">
        <f t="shared" si="0"/>
        <v>52772</v>
      </c>
    </row>
    <row r="8" spans="1:6" x14ac:dyDescent="0.25">
      <c r="A8" s="3" t="s">
        <v>10</v>
      </c>
      <c r="B8" s="17">
        <v>45113</v>
      </c>
      <c r="C8" s="5">
        <v>27695</v>
      </c>
      <c r="D8" s="5">
        <v>27264</v>
      </c>
      <c r="E8" s="6">
        <f t="shared" si="0"/>
        <v>54959</v>
      </c>
    </row>
    <row r="9" spans="1:6" x14ac:dyDescent="0.25">
      <c r="A9" s="3" t="s">
        <v>11</v>
      </c>
      <c r="B9" s="17">
        <v>45114</v>
      </c>
      <c r="C9" s="5">
        <v>26689</v>
      </c>
      <c r="D9" s="5">
        <v>26894</v>
      </c>
      <c r="E9" s="6">
        <f t="shared" si="0"/>
        <v>53583</v>
      </c>
    </row>
    <row r="10" spans="1:6" x14ac:dyDescent="0.25">
      <c r="A10" s="3" t="s">
        <v>8</v>
      </c>
      <c r="B10" s="17">
        <v>45117</v>
      </c>
      <c r="C10" s="5">
        <v>25082</v>
      </c>
      <c r="D10" s="5">
        <v>25151</v>
      </c>
      <c r="E10" s="6">
        <f t="shared" si="0"/>
        <v>50233</v>
      </c>
    </row>
    <row r="11" spans="1:6" x14ac:dyDescent="0.25">
      <c r="A11" s="3" t="s">
        <v>19</v>
      </c>
      <c r="B11" s="17">
        <v>45118</v>
      </c>
      <c r="C11" s="5">
        <v>27469</v>
      </c>
      <c r="D11" s="5">
        <v>26539</v>
      </c>
      <c r="E11" s="6">
        <f t="shared" si="0"/>
        <v>54008</v>
      </c>
    </row>
    <row r="12" spans="1:6" x14ac:dyDescent="0.25">
      <c r="A12" s="3" t="s">
        <v>9</v>
      </c>
      <c r="B12" s="17">
        <v>45119</v>
      </c>
      <c r="C12" s="5">
        <v>26188</v>
      </c>
      <c r="D12" s="5">
        <v>26110</v>
      </c>
      <c r="E12" s="6">
        <f t="shared" si="0"/>
        <v>52298</v>
      </c>
    </row>
    <row r="13" spans="1:6" x14ac:dyDescent="0.25">
      <c r="A13" s="3" t="s">
        <v>10</v>
      </c>
      <c r="B13" s="17">
        <v>45120</v>
      </c>
      <c r="C13" s="5">
        <v>26464</v>
      </c>
      <c r="D13" s="5">
        <v>26235</v>
      </c>
      <c r="E13" s="6">
        <f t="shared" si="0"/>
        <v>52699</v>
      </c>
    </row>
    <row r="14" spans="1:6" x14ac:dyDescent="0.25">
      <c r="A14" s="3" t="s">
        <v>11</v>
      </c>
      <c r="B14" s="17">
        <v>45121</v>
      </c>
      <c r="C14" s="5">
        <v>24819</v>
      </c>
      <c r="D14" s="5">
        <v>24525</v>
      </c>
      <c r="E14" s="6">
        <f t="shared" si="0"/>
        <v>49344</v>
      </c>
    </row>
    <row r="15" spans="1:6" ht="14.4" x14ac:dyDescent="0.3">
      <c r="A15" s="3" t="s">
        <v>8</v>
      </c>
      <c r="B15" s="17">
        <v>45124</v>
      </c>
      <c r="C15" s="5">
        <v>28348</v>
      </c>
      <c r="D15" s="5">
        <v>28246</v>
      </c>
      <c r="E15" s="6">
        <f t="shared" si="0"/>
        <v>56594</v>
      </c>
      <c r="F15" s="23"/>
    </row>
    <row r="16" spans="1:6" ht="14.4" x14ac:dyDescent="0.3">
      <c r="A16" s="3" t="s">
        <v>19</v>
      </c>
      <c r="B16" s="17">
        <v>45125</v>
      </c>
      <c r="C16" s="5">
        <v>23762</v>
      </c>
      <c r="D16" s="5">
        <v>23546</v>
      </c>
      <c r="E16" s="6">
        <f t="shared" si="0"/>
        <v>47308</v>
      </c>
      <c r="F16" s="23"/>
    </row>
    <row r="17" spans="1:5" x14ac:dyDescent="0.25">
      <c r="A17" s="3" t="s">
        <v>9</v>
      </c>
      <c r="B17" s="17">
        <v>45126</v>
      </c>
      <c r="C17" s="5">
        <v>25037</v>
      </c>
      <c r="D17" s="5">
        <v>24954</v>
      </c>
      <c r="E17" s="6">
        <f t="shared" si="0"/>
        <v>49991</v>
      </c>
    </row>
    <row r="18" spans="1:5" x14ac:dyDescent="0.25">
      <c r="A18" s="3" t="s">
        <v>10</v>
      </c>
      <c r="B18" s="17">
        <v>45127</v>
      </c>
      <c r="C18" s="5">
        <v>28299</v>
      </c>
      <c r="D18" s="5">
        <v>27832</v>
      </c>
      <c r="E18" s="6">
        <f t="shared" si="0"/>
        <v>56131</v>
      </c>
    </row>
    <row r="19" spans="1:5" x14ac:dyDescent="0.25">
      <c r="A19" s="3" t="s">
        <v>11</v>
      </c>
      <c r="B19" s="17">
        <v>45128</v>
      </c>
      <c r="C19" s="5">
        <v>25387</v>
      </c>
      <c r="D19" s="5">
        <v>25134</v>
      </c>
      <c r="E19" s="6">
        <f t="shared" si="0"/>
        <v>50521</v>
      </c>
    </row>
    <row r="20" spans="1:5" x14ac:dyDescent="0.25">
      <c r="A20" s="3" t="s">
        <v>8</v>
      </c>
      <c r="B20" s="17">
        <v>45131</v>
      </c>
      <c r="C20" s="5">
        <v>27352</v>
      </c>
      <c r="D20" s="5">
        <v>26882</v>
      </c>
      <c r="E20" s="6">
        <f t="shared" si="0"/>
        <v>54234</v>
      </c>
    </row>
    <row r="21" spans="1:5" x14ac:dyDescent="0.25">
      <c r="A21" s="3" t="s">
        <v>19</v>
      </c>
      <c r="B21" s="17">
        <v>45132</v>
      </c>
      <c r="C21" s="5">
        <v>24759</v>
      </c>
      <c r="D21" s="5">
        <v>24502</v>
      </c>
      <c r="E21" s="6">
        <f t="shared" si="0"/>
        <v>49261</v>
      </c>
    </row>
    <row r="22" spans="1:5" x14ac:dyDescent="0.25">
      <c r="A22" s="3" t="s">
        <v>9</v>
      </c>
      <c r="B22" s="17">
        <v>45133</v>
      </c>
      <c r="C22" s="5">
        <v>27758</v>
      </c>
      <c r="D22" s="5">
        <v>27215</v>
      </c>
      <c r="E22" s="6">
        <f t="shared" si="0"/>
        <v>54973</v>
      </c>
    </row>
    <row r="23" spans="1:5" x14ac:dyDescent="0.25">
      <c r="A23" s="3" t="s">
        <v>10</v>
      </c>
      <c r="B23" s="17">
        <v>45134</v>
      </c>
      <c r="C23" s="5">
        <v>26221</v>
      </c>
      <c r="D23" s="5">
        <v>25210</v>
      </c>
      <c r="E23" s="6">
        <f t="shared" si="0"/>
        <v>51431</v>
      </c>
    </row>
    <row r="24" spans="1:5" x14ac:dyDescent="0.25">
      <c r="A24" s="3" t="s">
        <v>11</v>
      </c>
      <c r="B24" s="17">
        <v>45135</v>
      </c>
      <c r="C24" s="5">
        <v>26537</v>
      </c>
      <c r="D24" s="5">
        <v>26093</v>
      </c>
      <c r="E24" s="6">
        <f t="shared" si="0"/>
        <v>52630</v>
      </c>
    </row>
    <row r="25" spans="1:5" x14ac:dyDescent="0.25">
      <c r="A25" s="3" t="s">
        <v>8</v>
      </c>
      <c r="B25" s="17">
        <v>45138</v>
      </c>
      <c r="C25" s="5">
        <v>26632</v>
      </c>
      <c r="D25" s="5">
        <v>26146</v>
      </c>
      <c r="E25" s="6">
        <f t="shared" si="0"/>
        <v>52778</v>
      </c>
    </row>
    <row r="26" spans="1:5" x14ac:dyDescent="0.25">
      <c r="A26" s="37" t="s">
        <v>5</v>
      </c>
      <c r="B26" s="37"/>
      <c r="C26" s="18">
        <f>SUM(C5:C25)</f>
        <v>547682</v>
      </c>
      <c r="D26" s="18">
        <f>SUM(D5:D25)</f>
        <v>540618</v>
      </c>
      <c r="E26" s="18">
        <f>SUM(E5:E25)</f>
        <v>1088300</v>
      </c>
    </row>
    <row r="27" spans="1:5" x14ac:dyDescent="0.25">
      <c r="C27" s="12"/>
      <c r="D27" s="12"/>
      <c r="E27" s="12"/>
    </row>
    <row r="28" spans="1:5" x14ac:dyDescent="0.25">
      <c r="A28" s="38" t="s">
        <v>17</v>
      </c>
      <c r="B28" s="38"/>
      <c r="C28" s="38"/>
      <c r="D28" s="38"/>
      <c r="E28" s="19">
        <f>E26</f>
        <v>1088300</v>
      </c>
    </row>
    <row r="29" spans="1:5" x14ac:dyDescent="0.25">
      <c r="A29" s="38" t="s">
        <v>12</v>
      </c>
      <c r="B29" s="38"/>
      <c r="C29" s="38"/>
      <c r="D29" s="38"/>
      <c r="E29" s="19">
        <f>AVERAGE(E5:E25)</f>
        <v>51823.809523809527</v>
      </c>
    </row>
    <row r="34" spans="1:5" x14ac:dyDescent="0.25">
      <c r="A34" s="45" t="s">
        <v>16</v>
      </c>
      <c r="B34" s="46"/>
      <c r="C34" s="46"/>
      <c r="D34" s="46"/>
      <c r="E34" s="47"/>
    </row>
    <row r="35" spans="1:5" x14ac:dyDescent="0.25">
      <c r="A35" s="43" t="s">
        <v>0</v>
      </c>
      <c r="B35" s="43" t="s">
        <v>1</v>
      </c>
      <c r="C35" s="41" t="s">
        <v>2</v>
      </c>
      <c r="D35" s="41" t="s">
        <v>3</v>
      </c>
      <c r="E35" s="35" t="s">
        <v>4</v>
      </c>
    </row>
    <row r="36" spans="1:5" x14ac:dyDescent="0.25">
      <c r="A36" s="44"/>
      <c r="B36" s="44"/>
      <c r="C36" s="42"/>
      <c r="D36" s="42"/>
      <c r="E36" s="36"/>
    </row>
    <row r="37" spans="1:5" x14ac:dyDescent="0.25">
      <c r="A37" s="3" t="str">
        <f t="shared" ref="A37:A46" si="1">CHOOSE(WEEKDAY(B37),"SUN","MON","TUES","WED","THU","FRI","SAT")</f>
        <v>SAT</v>
      </c>
      <c r="B37" s="17">
        <v>45108</v>
      </c>
      <c r="C37" s="5">
        <v>25792</v>
      </c>
      <c r="D37" s="5">
        <v>25263</v>
      </c>
      <c r="E37" s="6">
        <v>51055</v>
      </c>
    </row>
    <row r="38" spans="1:5" x14ac:dyDescent="0.25">
      <c r="A38" s="3" t="str">
        <f t="shared" si="1"/>
        <v>SUN</v>
      </c>
      <c r="B38" s="17">
        <v>45109</v>
      </c>
      <c r="C38" s="5">
        <v>21890</v>
      </c>
      <c r="D38" s="5">
        <v>21150</v>
      </c>
      <c r="E38" s="6">
        <v>43040</v>
      </c>
    </row>
    <row r="39" spans="1:5" x14ac:dyDescent="0.25">
      <c r="A39" s="3" t="str">
        <f t="shared" si="1"/>
        <v>SAT</v>
      </c>
      <c r="B39" s="17">
        <v>45115</v>
      </c>
      <c r="C39" s="5">
        <v>24333</v>
      </c>
      <c r="D39" s="5">
        <v>23558</v>
      </c>
      <c r="E39" s="6">
        <f t="shared" ref="E39:E43" si="2">SUM(C39:D39)</f>
        <v>47891</v>
      </c>
    </row>
    <row r="40" spans="1:5" x14ac:dyDescent="0.25">
      <c r="A40" s="3" t="str">
        <f t="shared" si="1"/>
        <v>SUN</v>
      </c>
      <c r="B40" s="17">
        <v>45116</v>
      </c>
      <c r="C40" s="5">
        <v>18756</v>
      </c>
      <c r="D40" s="5">
        <v>17617</v>
      </c>
      <c r="E40" s="6">
        <f t="shared" si="2"/>
        <v>36373</v>
      </c>
    </row>
    <row r="41" spans="1:5" x14ac:dyDescent="0.25">
      <c r="A41" s="3" t="str">
        <f t="shared" si="1"/>
        <v>SAT</v>
      </c>
      <c r="B41" s="17">
        <v>45122</v>
      </c>
      <c r="C41" s="5">
        <v>24311</v>
      </c>
      <c r="D41" s="5">
        <v>23944</v>
      </c>
      <c r="E41" s="6">
        <f t="shared" si="2"/>
        <v>48255</v>
      </c>
    </row>
    <row r="42" spans="1:5" x14ac:dyDescent="0.25">
      <c r="A42" s="3" t="str">
        <f t="shared" si="1"/>
        <v>SUN</v>
      </c>
      <c r="B42" s="17">
        <v>45123</v>
      </c>
      <c r="C42" s="5">
        <v>13968</v>
      </c>
      <c r="D42" s="5">
        <v>13103</v>
      </c>
      <c r="E42" s="6">
        <f t="shared" si="2"/>
        <v>27071</v>
      </c>
    </row>
    <row r="43" spans="1:5" x14ac:dyDescent="0.25">
      <c r="A43" s="3" t="str">
        <f t="shared" si="1"/>
        <v>SAT</v>
      </c>
      <c r="B43" s="17">
        <v>45129</v>
      </c>
      <c r="C43" s="5">
        <v>27762</v>
      </c>
      <c r="D43" s="5">
        <v>27055</v>
      </c>
      <c r="E43" s="6">
        <f t="shared" si="2"/>
        <v>54817</v>
      </c>
    </row>
    <row r="44" spans="1:5" x14ac:dyDescent="0.25">
      <c r="A44" s="3" t="str">
        <f t="shared" si="1"/>
        <v>SUN</v>
      </c>
      <c r="B44" s="17">
        <v>45130</v>
      </c>
      <c r="C44" s="5">
        <v>24895</v>
      </c>
      <c r="D44" s="5">
        <v>23684</v>
      </c>
      <c r="E44" s="6">
        <f>SUM(C44:D44)</f>
        <v>48579</v>
      </c>
    </row>
    <row r="45" spans="1:5" x14ac:dyDescent="0.25">
      <c r="A45" s="3" t="str">
        <f t="shared" si="1"/>
        <v>SAT</v>
      </c>
      <c r="B45" s="17">
        <v>45136</v>
      </c>
      <c r="C45" s="5">
        <v>23727</v>
      </c>
      <c r="D45" s="5">
        <v>23147</v>
      </c>
      <c r="E45" s="6">
        <f>SUM(C45:D45)</f>
        <v>46874</v>
      </c>
    </row>
    <row r="46" spans="1:5" x14ac:dyDescent="0.25">
      <c r="A46" s="3" t="str">
        <f t="shared" si="1"/>
        <v>SUN</v>
      </c>
      <c r="B46" s="17">
        <v>45137</v>
      </c>
      <c r="C46" s="5">
        <v>24215</v>
      </c>
      <c r="D46" s="5">
        <v>23152</v>
      </c>
      <c r="E46" s="6">
        <f>SUM(C46:D46)</f>
        <v>47367</v>
      </c>
    </row>
    <row r="47" spans="1:5" x14ac:dyDescent="0.25">
      <c r="A47" s="37" t="s">
        <v>5</v>
      </c>
      <c r="B47" s="37"/>
      <c r="C47" s="18">
        <f>SUM(C37:C46)</f>
        <v>229649</v>
      </c>
      <c r="D47" s="18">
        <f>SUM(D37:D46)</f>
        <v>221673</v>
      </c>
      <c r="E47" s="18">
        <f>SUM(E37:E46)</f>
        <v>451322</v>
      </c>
    </row>
    <row r="48" spans="1:5" x14ac:dyDescent="0.25">
      <c r="C48" s="12"/>
      <c r="D48" s="12"/>
      <c r="E48" s="12"/>
    </row>
    <row r="49" spans="1:6" x14ac:dyDescent="0.25">
      <c r="A49" s="38" t="s">
        <v>18</v>
      </c>
      <c r="B49" s="38"/>
      <c r="C49" s="38"/>
      <c r="D49" s="38"/>
      <c r="E49" s="20">
        <f>E47</f>
        <v>451322</v>
      </c>
    </row>
    <row r="50" spans="1:6" x14ac:dyDescent="0.25">
      <c r="A50" s="21"/>
      <c r="B50" s="21"/>
      <c r="C50" s="21"/>
      <c r="D50" s="21"/>
      <c r="E50" s="21"/>
      <c r="F50" s="12"/>
    </row>
    <row r="51" spans="1:6" x14ac:dyDescent="0.25">
      <c r="A51" s="38" t="s">
        <v>13</v>
      </c>
      <c r="B51" s="38"/>
      <c r="C51" s="38"/>
      <c r="D51" s="38"/>
      <c r="E51" s="20">
        <f xml:space="preserve"> AVERAGE(E37,E39,E41,E43,E45)</f>
        <v>49778.400000000001</v>
      </c>
    </row>
    <row r="52" spans="1:6" x14ac:dyDescent="0.25">
      <c r="A52" s="38" t="s">
        <v>14</v>
      </c>
      <c r="B52" s="38"/>
      <c r="C52" s="38"/>
      <c r="D52" s="38"/>
      <c r="E52" s="20">
        <f xml:space="preserve"> AVERAGE(E38,E40,E42, E44,E46)</f>
        <v>40486</v>
      </c>
    </row>
  </sheetData>
  <mergeCells count="19">
    <mergeCell ref="E35:E36"/>
    <mergeCell ref="A2:E2"/>
    <mergeCell ref="A3:A4"/>
    <mergeCell ref="B3:B4"/>
    <mergeCell ref="C3:C4"/>
    <mergeCell ref="D3:D4"/>
    <mergeCell ref="E3:E4"/>
    <mergeCell ref="A47:B47"/>
    <mergeCell ref="A49:D49"/>
    <mergeCell ref="A51:D51"/>
    <mergeCell ref="A52:D52"/>
    <mergeCell ref="A26:B26"/>
    <mergeCell ref="A28:D28"/>
    <mergeCell ref="A29:D29"/>
    <mergeCell ref="A34:E34"/>
    <mergeCell ref="A35:A36"/>
    <mergeCell ref="B35:B36"/>
    <mergeCell ref="C35:C36"/>
    <mergeCell ref="D35:D36"/>
  </mergeCells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9" ma:contentTypeDescription="Create a new document." ma:contentTypeScope="" ma:versionID="08fbae0c7f9a8e2444046f9c4a1f6255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eee80be5f8846f68db7a88c41e92a792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EBFA6D5-AD22-49BD-BDFC-AA0C5F68BE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599093-5D3E-4CC2-BB73-4FDFAF5F6D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F296EB-A72D-4BB8-9A41-2328A7E0457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 - Weekend</vt:lpstr>
    </vt:vector>
  </TitlesOfParts>
  <Company>NYCDOT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Olsson, JoAnn</dc:creator>
  <cp:lastModifiedBy>Lucy Santana</cp:lastModifiedBy>
  <dcterms:created xsi:type="dcterms:W3CDTF">2023-07-05T16:53:13Z</dcterms:created>
  <dcterms:modified xsi:type="dcterms:W3CDTF">2026-04-09T22:17:53Z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