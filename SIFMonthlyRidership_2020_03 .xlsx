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CB3EEA86-589C-42A0-AE72-F55FED7D07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1" r:id="rId1"/>
    <sheet name="Weekday - Week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6" i="1"/>
  <c r="D37" i="1"/>
  <c r="C3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6" i="1"/>
  <c r="F37" i="2"/>
  <c r="F38" i="2"/>
  <c r="F39" i="2"/>
  <c r="F40" i="2"/>
  <c r="F41" i="2"/>
  <c r="F42" i="2"/>
  <c r="F43" i="2"/>
  <c r="F44" i="2"/>
  <c r="F36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4" i="2"/>
  <c r="E37" i="2"/>
  <c r="E38" i="2"/>
  <c r="E39" i="2"/>
  <c r="E40" i="2"/>
  <c r="E41" i="2"/>
  <c r="E42" i="2"/>
  <c r="E43" i="2"/>
  <c r="E44" i="2"/>
  <c r="E36" i="2"/>
  <c r="D45" i="2"/>
  <c r="C45" i="2"/>
  <c r="E47" i="2" l="1"/>
  <c r="E37" i="1"/>
  <c r="E40" i="1" s="1"/>
  <c r="E48" i="2"/>
  <c r="E4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4" i="2"/>
  <c r="D26" i="2"/>
  <c r="C26" i="2"/>
  <c r="E29" i="2" l="1"/>
  <c r="E26" i="2"/>
  <c r="E28" i="2" s="1"/>
  <c r="A25" i="2"/>
  <c r="A24" i="2"/>
  <c r="A44" i="2"/>
  <c r="A43" i="2"/>
  <c r="A23" i="2"/>
  <c r="A22" i="2"/>
  <c r="A21" i="2"/>
  <c r="A20" i="2"/>
  <c r="A19" i="2"/>
  <c r="A42" i="2"/>
  <c r="A41" i="2"/>
  <c r="A18" i="2"/>
  <c r="A17" i="2"/>
  <c r="A16" i="2"/>
  <c r="A15" i="2"/>
  <c r="A14" i="2"/>
  <c r="A40" i="2"/>
  <c r="A39" i="2"/>
  <c r="A13" i="2"/>
  <c r="A12" i="2"/>
  <c r="A11" i="2"/>
  <c r="A10" i="2"/>
  <c r="A9" i="2"/>
  <c r="A38" i="2"/>
  <c r="A37" i="2"/>
  <c r="A8" i="2"/>
  <c r="A7" i="2"/>
  <c r="A6" i="2"/>
  <c r="A5" i="2"/>
  <c r="A4" i="2"/>
  <c r="A36" i="2"/>
  <c r="A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</calcChain>
</file>

<file path=xl/sharedStrings.xml><?xml version="1.0" encoding="utf-8"?>
<sst xmlns="http://schemas.openxmlformats.org/spreadsheetml/2006/main" count="24" uniqueCount="14">
  <si>
    <t>DAY</t>
  </si>
  <si>
    <t>DATE</t>
  </si>
  <si>
    <t>WHT</t>
  </si>
  <si>
    <t>STG</t>
  </si>
  <si>
    <t>COMBINED TOTAL</t>
  </si>
  <si>
    <t>MARCH 2020 WEEKDAY TOTALS</t>
  </si>
  <si>
    <t>MARCH 2020 WEEKEND TOTALS</t>
  </si>
  <si>
    <t>Average Passengers/Weekday</t>
  </si>
  <si>
    <t>Total Weekday Pax Count March 2020:</t>
  </si>
  <si>
    <t>Diff</t>
  </si>
  <si>
    <t xml:space="preserve">Average Saturday Passengers: </t>
  </si>
  <si>
    <t xml:space="preserve">Average Sunday Passengers: </t>
  </si>
  <si>
    <t>TOTALS:</t>
  </si>
  <si>
    <t>TOTAL MARCH RIDERSHIP: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</si>
</sst>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164" fontId="3" fillId="4" borderId="8" xfId="1" applyNumberFormat="1" applyFont="1" applyFill="1" applyBorder="1" applyAlignment="1">
      <alignment horizontal="center"/>
    </xf>
    <xf numFmtId="164" fontId="3" fillId="4" borderId="5" xfId="1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37" fontId="5" fillId="5" borderId="8" xfId="0" applyNumberFormat="1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164" fontId="2" fillId="6" borderId="18" xfId="1" applyNumberFormat="1" applyFont="1" applyFill="1" applyBorder="1" applyAlignment="1">
      <alignment horizontal="center"/>
    </xf>
    <xf numFmtId="164" fontId="2" fillId="6" borderId="19" xfId="1" applyNumberFormat="1" applyFont="1" applyFill="1" applyBorder="1" applyAlignment="1">
      <alignment horizontal="center"/>
    </xf>
    <xf numFmtId="164" fontId="2" fillId="0" borderId="1" xfId="1" applyNumberFormat="1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/>
    </xf>
    <xf numFmtId="164" fontId="2" fillId="0" borderId="20" xfId="1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horizontal="center"/>
    </xf>
    <xf numFmtId="164" fontId="2" fillId="0" borderId="18" xfId="1" applyNumberFormat="1" applyFont="1" applyBorder="1" applyAlignment="1">
      <alignment horizontal="center"/>
    </xf>
    <xf numFmtId="164" fontId="2" fillId="0" borderId="19" xfId="1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21" xfId="1" applyNumberFormat="1" applyFont="1" applyBorder="1" applyAlignment="1">
      <alignment horizontal="center"/>
    </xf>
    <xf numFmtId="164" fontId="3" fillId="0" borderId="18" xfId="1" applyNumberFormat="1" applyFont="1" applyBorder="1" applyAlignment="1">
      <alignment horizontal="center"/>
    </xf>
    <xf numFmtId="164" fontId="3" fillId="0" borderId="19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/>
    <xf numFmtId="17" fontId="4" fillId="3" borderId="1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1" fontId="5" fillId="5" borderId="6" xfId="0" applyNumberFormat="1" applyFont="1" applyFill="1" applyBorder="1" applyAlignment="1">
      <alignment horizontal="right"/>
    </xf>
    <xf numFmtId="41" fontId="5" fillId="5" borderId="7" xfId="0" applyNumberFormat="1" applyFont="1" applyFill="1" applyBorder="1" applyAlignment="1">
      <alignment horizontal="right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40"/>
  <sheetViews>
    <sheetView tabSelected="1" workbookViewId="0">
      <selection activeCell="A5" sqref="A5"/>
    </sheetView>
  </sheetViews>
  <sheetFormatPr defaultColWidth="9.109375" defaultRowHeight="13.8" x14ac:dyDescent="0.25"/>
  <cols>
    <col min="1" max="4" width="12.6640625" style="1" customWidth="1"/>
    <col min="5" max="5" width="13.6640625" style="1" customWidth="1"/>
    <col min="6" max="6" width="11.5546875" style="1" hidden="1" customWidth="1"/>
    <col min="7" max="9" width="9.109375" style="1"/>
    <col min="10" max="10" width="11" style="1" bestFit="1" customWidth="1"/>
    <col min="11" max="12" width="12.6640625" style="18" bestFit="1" customWidth="1"/>
    <col min="13" max="13" width="9.88671875" style="1" bestFit="1" customWidth="1"/>
    <col min="14" max="16384" width="9.109375" style="1"/>
  </cols>
  <sheetData>
    <row r="4" spans="1:13" x14ac:dyDescent="0.25">
      <c r="A4" s="44">
        <v>43891</v>
      </c>
      <c r="B4" s="44"/>
      <c r="C4" s="44"/>
      <c r="D4" s="44"/>
      <c r="E4" s="44"/>
    </row>
    <row r="5" spans="1:13" s="2" customFormat="1" ht="27.6" x14ac:dyDescent="0.3">
      <c r="A5" s="5" t="s">
        <v>0</v>
      </c>
      <c r="B5" s="5" t="s">
        <v>1</v>
      </c>
      <c r="C5" s="5" t="s">
        <v>2</v>
      </c>
      <c r="D5" s="5" t="s">
        <v>3</v>
      </c>
      <c r="E5" s="6" t="s">
        <v>4</v>
      </c>
      <c r="K5" s="42"/>
      <c r="L5" s="42"/>
    </row>
    <row r="6" spans="1:13" x14ac:dyDescent="0.25">
      <c r="A6" s="3" t="str">
        <f t="shared" ref="A6:A36" si="0">CHOOSE(WEEKDAY(B6),"SUN","MON","TUE","WED","THU","FRI","SAT")</f>
        <v>SUN</v>
      </c>
      <c r="B6" s="4">
        <v>43891</v>
      </c>
      <c r="C6" s="26">
        <v>15965</v>
      </c>
      <c r="D6" s="17">
        <v>14925</v>
      </c>
      <c r="E6" s="17">
        <f>SUM(C6:D6)</f>
        <v>30890</v>
      </c>
      <c r="F6" s="18">
        <f>C6-D6</f>
        <v>1040</v>
      </c>
      <c r="J6" s="10"/>
      <c r="K6" s="43"/>
      <c r="L6" s="29"/>
      <c r="M6" s="38"/>
    </row>
    <row r="7" spans="1:13" x14ac:dyDescent="0.25">
      <c r="A7" s="3" t="str">
        <f t="shared" si="0"/>
        <v>MON</v>
      </c>
      <c r="B7" s="4">
        <v>43892</v>
      </c>
      <c r="C7" s="17">
        <v>30952</v>
      </c>
      <c r="D7" s="17">
        <v>30793</v>
      </c>
      <c r="E7" s="17">
        <f t="shared" ref="E7:E36" si="1">SUM(C7:D7)</f>
        <v>61745</v>
      </c>
      <c r="F7" s="18">
        <f t="shared" ref="F7:F36" si="2">C7-D7</f>
        <v>159</v>
      </c>
      <c r="J7" s="10"/>
      <c r="K7" s="29"/>
      <c r="L7" s="29"/>
      <c r="M7" s="38"/>
    </row>
    <row r="8" spans="1:13" x14ac:dyDescent="0.25">
      <c r="A8" s="3" t="str">
        <f t="shared" si="0"/>
        <v>TUE</v>
      </c>
      <c r="B8" s="4">
        <v>43893</v>
      </c>
      <c r="C8" s="17">
        <v>29396</v>
      </c>
      <c r="D8" s="17">
        <v>28838</v>
      </c>
      <c r="E8" s="17">
        <f t="shared" si="1"/>
        <v>58234</v>
      </c>
      <c r="F8" s="18">
        <f t="shared" si="2"/>
        <v>558</v>
      </c>
      <c r="J8" s="10"/>
      <c r="K8" s="29"/>
      <c r="L8" s="29"/>
      <c r="M8" s="38"/>
    </row>
    <row r="9" spans="1:13" x14ac:dyDescent="0.25">
      <c r="A9" s="3" t="str">
        <f t="shared" si="0"/>
        <v>WED</v>
      </c>
      <c r="B9" s="4">
        <v>43894</v>
      </c>
      <c r="C9" s="17">
        <v>30430</v>
      </c>
      <c r="D9" s="17">
        <v>29924</v>
      </c>
      <c r="E9" s="17">
        <f t="shared" si="1"/>
        <v>60354</v>
      </c>
      <c r="F9" s="18">
        <f t="shared" si="2"/>
        <v>506</v>
      </c>
      <c r="J9" s="10"/>
      <c r="K9" s="29"/>
      <c r="L9" s="29"/>
      <c r="M9" s="38"/>
    </row>
    <row r="10" spans="1:13" x14ac:dyDescent="0.25">
      <c r="A10" s="3" t="str">
        <f t="shared" si="0"/>
        <v>THU</v>
      </c>
      <c r="B10" s="4">
        <v>43895</v>
      </c>
      <c r="C10" s="17">
        <v>30586</v>
      </c>
      <c r="D10" s="17">
        <v>30242</v>
      </c>
      <c r="E10" s="17">
        <f t="shared" si="1"/>
        <v>60828</v>
      </c>
      <c r="F10" s="18">
        <f t="shared" si="2"/>
        <v>344</v>
      </c>
      <c r="J10" s="10"/>
      <c r="K10" s="29"/>
      <c r="L10" s="29"/>
      <c r="M10" s="38"/>
    </row>
    <row r="11" spans="1:13" x14ac:dyDescent="0.25">
      <c r="A11" s="3" t="str">
        <f t="shared" si="0"/>
        <v>FRI</v>
      </c>
      <c r="B11" s="4">
        <v>43896</v>
      </c>
      <c r="C11" s="17">
        <v>27294</v>
      </c>
      <c r="D11" s="17">
        <v>27161</v>
      </c>
      <c r="E11" s="17">
        <f t="shared" si="1"/>
        <v>54455</v>
      </c>
      <c r="F11" s="18">
        <f t="shared" si="2"/>
        <v>133</v>
      </c>
      <c r="J11" s="10"/>
      <c r="K11" s="29"/>
      <c r="L11" s="29"/>
      <c r="M11" s="38"/>
    </row>
    <row r="12" spans="1:13" x14ac:dyDescent="0.25">
      <c r="A12" s="3" t="str">
        <f t="shared" si="0"/>
        <v>SAT</v>
      </c>
      <c r="B12" s="4">
        <v>43897</v>
      </c>
      <c r="C12" s="26">
        <v>19073</v>
      </c>
      <c r="D12" s="17">
        <v>18573</v>
      </c>
      <c r="E12" s="17">
        <f t="shared" si="1"/>
        <v>37646</v>
      </c>
      <c r="F12" s="18">
        <f t="shared" si="2"/>
        <v>500</v>
      </c>
      <c r="J12" s="10"/>
      <c r="K12" s="43"/>
      <c r="L12" s="29"/>
      <c r="M12" s="38"/>
    </row>
    <row r="13" spans="1:13" x14ac:dyDescent="0.25">
      <c r="A13" s="3" t="str">
        <f t="shared" si="0"/>
        <v>SUN</v>
      </c>
      <c r="B13" s="4">
        <v>43898</v>
      </c>
      <c r="C13" s="26">
        <v>16584</v>
      </c>
      <c r="D13" s="17">
        <v>15232</v>
      </c>
      <c r="E13" s="17">
        <f t="shared" si="1"/>
        <v>31816</v>
      </c>
      <c r="F13" s="18">
        <f t="shared" si="2"/>
        <v>1352</v>
      </c>
      <c r="J13" s="10"/>
      <c r="K13" s="43"/>
      <c r="L13" s="29"/>
      <c r="M13" s="38"/>
    </row>
    <row r="14" spans="1:13" x14ac:dyDescent="0.25">
      <c r="A14" s="3" t="str">
        <f t="shared" si="0"/>
        <v>MON</v>
      </c>
      <c r="B14" s="4">
        <v>43899</v>
      </c>
      <c r="C14" s="17">
        <v>30643</v>
      </c>
      <c r="D14" s="17">
        <v>30348</v>
      </c>
      <c r="E14" s="17">
        <f t="shared" si="1"/>
        <v>60991</v>
      </c>
      <c r="F14" s="18">
        <f t="shared" si="2"/>
        <v>295</v>
      </c>
      <c r="J14" s="10"/>
      <c r="K14" s="29"/>
      <c r="L14" s="29"/>
      <c r="M14" s="38"/>
    </row>
    <row r="15" spans="1:13" x14ac:dyDescent="0.25">
      <c r="A15" s="3" t="str">
        <f t="shared" si="0"/>
        <v>TUE</v>
      </c>
      <c r="B15" s="4">
        <v>43900</v>
      </c>
      <c r="C15" s="17">
        <v>27526</v>
      </c>
      <c r="D15" s="17">
        <v>27012</v>
      </c>
      <c r="E15" s="17">
        <f t="shared" si="1"/>
        <v>54538</v>
      </c>
      <c r="F15" s="18">
        <f t="shared" si="2"/>
        <v>514</v>
      </c>
      <c r="J15" s="10"/>
      <c r="K15" s="29"/>
      <c r="L15" s="29"/>
      <c r="M15" s="38"/>
    </row>
    <row r="16" spans="1:13" x14ac:dyDescent="0.25">
      <c r="A16" s="3" t="str">
        <f t="shared" si="0"/>
        <v>WED</v>
      </c>
      <c r="B16" s="4">
        <v>43901</v>
      </c>
      <c r="C16" s="17">
        <v>27151</v>
      </c>
      <c r="D16" s="17">
        <v>26522</v>
      </c>
      <c r="E16" s="17">
        <f t="shared" si="1"/>
        <v>53673</v>
      </c>
      <c r="F16" s="18">
        <f t="shared" si="2"/>
        <v>629</v>
      </c>
      <c r="J16" s="10"/>
      <c r="K16" s="29"/>
      <c r="L16" s="29"/>
      <c r="M16" s="38"/>
    </row>
    <row r="17" spans="1:13" x14ac:dyDescent="0.25">
      <c r="A17" s="3" t="str">
        <f t="shared" si="0"/>
        <v>THU</v>
      </c>
      <c r="B17" s="4">
        <v>43902</v>
      </c>
      <c r="C17" s="17">
        <v>23962</v>
      </c>
      <c r="D17" s="17">
        <v>23564</v>
      </c>
      <c r="E17" s="17">
        <f t="shared" si="1"/>
        <v>47526</v>
      </c>
      <c r="F17" s="18">
        <f t="shared" si="2"/>
        <v>398</v>
      </c>
      <c r="J17" s="10"/>
      <c r="K17" s="29"/>
      <c r="L17" s="29"/>
      <c r="M17" s="38"/>
    </row>
    <row r="18" spans="1:13" x14ac:dyDescent="0.25">
      <c r="A18" s="3" t="str">
        <f t="shared" si="0"/>
        <v>FRI</v>
      </c>
      <c r="B18" s="4">
        <v>43903</v>
      </c>
      <c r="C18" s="17">
        <v>21520</v>
      </c>
      <c r="D18" s="17">
        <v>20984</v>
      </c>
      <c r="E18" s="17">
        <f t="shared" si="1"/>
        <v>42504</v>
      </c>
      <c r="F18" s="18">
        <f t="shared" si="2"/>
        <v>536</v>
      </c>
      <c r="J18" s="10"/>
      <c r="K18" s="29"/>
      <c r="L18" s="29"/>
      <c r="M18" s="38"/>
    </row>
    <row r="19" spans="1:13" x14ac:dyDescent="0.25">
      <c r="A19" s="3" t="str">
        <f t="shared" si="0"/>
        <v>SAT</v>
      </c>
      <c r="B19" s="4">
        <v>43904</v>
      </c>
      <c r="C19" s="26">
        <v>12761</v>
      </c>
      <c r="D19" s="17">
        <v>11618</v>
      </c>
      <c r="E19" s="17">
        <f t="shared" si="1"/>
        <v>24379</v>
      </c>
      <c r="F19" s="18">
        <f t="shared" si="2"/>
        <v>1143</v>
      </c>
      <c r="J19" s="10"/>
      <c r="K19" s="43"/>
      <c r="L19" s="29"/>
      <c r="M19" s="38"/>
    </row>
    <row r="20" spans="1:13" x14ac:dyDescent="0.25">
      <c r="A20" s="3" t="str">
        <f t="shared" si="0"/>
        <v>SUN</v>
      </c>
      <c r="B20" s="4">
        <v>43905</v>
      </c>
      <c r="C20" s="26">
        <v>9629</v>
      </c>
      <c r="D20" s="17">
        <v>8462</v>
      </c>
      <c r="E20" s="17">
        <f t="shared" si="1"/>
        <v>18091</v>
      </c>
      <c r="F20" s="18">
        <f t="shared" si="2"/>
        <v>1167</v>
      </c>
      <c r="J20" s="10"/>
      <c r="K20" s="43"/>
      <c r="L20" s="29"/>
      <c r="M20" s="38"/>
    </row>
    <row r="21" spans="1:13" x14ac:dyDescent="0.25">
      <c r="A21" s="3" t="str">
        <f t="shared" si="0"/>
        <v>MON</v>
      </c>
      <c r="B21" s="4">
        <v>43906</v>
      </c>
      <c r="C21" s="17">
        <v>14664</v>
      </c>
      <c r="D21" s="17">
        <v>14309</v>
      </c>
      <c r="E21" s="17">
        <f t="shared" si="1"/>
        <v>28973</v>
      </c>
      <c r="F21" s="18">
        <f t="shared" si="2"/>
        <v>355</v>
      </c>
      <c r="J21" s="10"/>
      <c r="K21" s="29"/>
      <c r="L21" s="29"/>
      <c r="M21" s="38"/>
    </row>
    <row r="22" spans="1:13" x14ac:dyDescent="0.25">
      <c r="A22" s="3" t="str">
        <f t="shared" si="0"/>
        <v>TUE</v>
      </c>
      <c r="B22" s="4">
        <v>43907</v>
      </c>
      <c r="C22" s="17">
        <v>12314</v>
      </c>
      <c r="D22" s="17">
        <v>11863</v>
      </c>
      <c r="E22" s="17">
        <f t="shared" si="1"/>
        <v>24177</v>
      </c>
      <c r="F22" s="18">
        <f t="shared" si="2"/>
        <v>451</v>
      </c>
      <c r="J22" s="10"/>
      <c r="K22" s="29"/>
      <c r="L22" s="29"/>
      <c r="M22" s="38"/>
    </row>
    <row r="23" spans="1:13" x14ac:dyDescent="0.25">
      <c r="A23" s="3" t="str">
        <f t="shared" si="0"/>
        <v>WED</v>
      </c>
      <c r="B23" s="4">
        <v>43908</v>
      </c>
      <c r="C23" s="17">
        <v>11456</v>
      </c>
      <c r="D23" s="17">
        <v>11189</v>
      </c>
      <c r="E23" s="17">
        <f t="shared" si="1"/>
        <v>22645</v>
      </c>
      <c r="F23" s="18">
        <f t="shared" si="2"/>
        <v>267</v>
      </c>
      <c r="J23" s="10"/>
      <c r="K23" s="29"/>
      <c r="L23" s="29"/>
      <c r="M23" s="38"/>
    </row>
    <row r="24" spans="1:13" x14ac:dyDescent="0.25">
      <c r="A24" s="3" t="str">
        <f t="shared" si="0"/>
        <v>THU</v>
      </c>
      <c r="B24" s="4">
        <v>43909</v>
      </c>
      <c r="C24" s="17">
        <v>9817</v>
      </c>
      <c r="D24" s="17">
        <v>9575</v>
      </c>
      <c r="E24" s="17">
        <f t="shared" si="1"/>
        <v>19392</v>
      </c>
      <c r="F24" s="18">
        <f t="shared" si="2"/>
        <v>242</v>
      </c>
      <c r="J24" s="10"/>
      <c r="K24" s="29"/>
      <c r="L24" s="29"/>
      <c r="M24" s="38"/>
    </row>
    <row r="25" spans="1:13" x14ac:dyDescent="0.25">
      <c r="A25" s="3" t="str">
        <f t="shared" si="0"/>
        <v>FRI</v>
      </c>
      <c r="B25" s="4">
        <v>43910</v>
      </c>
      <c r="C25" s="17">
        <v>9302</v>
      </c>
      <c r="D25" s="17">
        <v>8841</v>
      </c>
      <c r="E25" s="17">
        <f t="shared" si="1"/>
        <v>18143</v>
      </c>
      <c r="F25" s="18">
        <f t="shared" si="2"/>
        <v>461</v>
      </c>
      <c r="J25" s="10"/>
      <c r="K25" s="29"/>
      <c r="L25" s="29"/>
      <c r="M25" s="38"/>
    </row>
    <row r="26" spans="1:13" x14ac:dyDescent="0.25">
      <c r="A26" s="3" t="str">
        <f t="shared" si="0"/>
        <v>SAT</v>
      </c>
      <c r="B26" s="4">
        <v>43911</v>
      </c>
      <c r="C26" s="26">
        <v>4975</v>
      </c>
      <c r="D26" s="17">
        <v>4584</v>
      </c>
      <c r="E26" s="17">
        <f t="shared" si="1"/>
        <v>9559</v>
      </c>
      <c r="F26" s="18">
        <f t="shared" si="2"/>
        <v>391</v>
      </c>
      <c r="J26" s="10"/>
      <c r="K26" s="43"/>
      <c r="L26" s="29"/>
      <c r="M26" s="38"/>
    </row>
    <row r="27" spans="1:13" x14ac:dyDescent="0.25">
      <c r="A27" s="3" t="str">
        <f t="shared" si="0"/>
        <v>SUN</v>
      </c>
      <c r="B27" s="4">
        <v>43912</v>
      </c>
      <c r="C27" s="26">
        <v>3510</v>
      </c>
      <c r="D27" s="17">
        <v>3195</v>
      </c>
      <c r="E27" s="17">
        <f t="shared" si="1"/>
        <v>6705</v>
      </c>
      <c r="F27" s="18">
        <f t="shared" si="2"/>
        <v>315</v>
      </c>
      <c r="J27" s="10"/>
      <c r="K27" s="43"/>
      <c r="L27" s="29"/>
      <c r="M27" s="38"/>
    </row>
    <row r="28" spans="1:13" x14ac:dyDescent="0.25">
      <c r="A28" s="3" t="str">
        <f t="shared" si="0"/>
        <v>MON</v>
      </c>
      <c r="B28" s="4">
        <v>43913</v>
      </c>
      <c r="C28" s="17">
        <v>5643</v>
      </c>
      <c r="D28" s="17">
        <v>5527</v>
      </c>
      <c r="E28" s="17">
        <f t="shared" si="1"/>
        <v>11170</v>
      </c>
      <c r="F28" s="18">
        <f t="shared" si="2"/>
        <v>116</v>
      </c>
      <c r="J28" s="10"/>
      <c r="K28" s="29"/>
      <c r="L28" s="29"/>
      <c r="M28" s="38"/>
    </row>
    <row r="29" spans="1:13" x14ac:dyDescent="0.25">
      <c r="A29" s="3" t="str">
        <f t="shared" si="0"/>
        <v>TUE</v>
      </c>
      <c r="B29" s="4">
        <v>43914</v>
      </c>
      <c r="C29" s="17">
        <v>6044</v>
      </c>
      <c r="D29" s="17">
        <v>5737</v>
      </c>
      <c r="E29" s="17">
        <f t="shared" si="1"/>
        <v>11781</v>
      </c>
      <c r="F29" s="18">
        <f t="shared" si="2"/>
        <v>307</v>
      </c>
      <c r="J29" s="10"/>
      <c r="K29" s="29"/>
      <c r="L29" s="29"/>
      <c r="M29" s="38"/>
    </row>
    <row r="30" spans="1:13" x14ac:dyDescent="0.25">
      <c r="A30" s="3" t="str">
        <f t="shared" si="0"/>
        <v>WED</v>
      </c>
      <c r="B30" s="4">
        <v>43915</v>
      </c>
      <c r="C30" s="17">
        <v>5475</v>
      </c>
      <c r="D30" s="17">
        <v>5422</v>
      </c>
      <c r="E30" s="17">
        <f t="shared" si="1"/>
        <v>10897</v>
      </c>
      <c r="F30" s="18">
        <f t="shared" si="2"/>
        <v>53</v>
      </c>
      <c r="J30" s="10"/>
      <c r="K30" s="29"/>
      <c r="L30" s="29"/>
      <c r="M30" s="38"/>
    </row>
    <row r="31" spans="1:13" x14ac:dyDescent="0.25">
      <c r="A31" s="3" t="str">
        <f t="shared" si="0"/>
        <v>THU</v>
      </c>
      <c r="B31" s="4">
        <v>43916</v>
      </c>
      <c r="C31" s="17">
        <v>5616</v>
      </c>
      <c r="D31" s="17">
        <v>5302</v>
      </c>
      <c r="E31" s="17">
        <f t="shared" si="1"/>
        <v>10918</v>
      </c>
      <c r="F31" s="18">
        <f t="shared" si="2"/>
        <v>314</v>
      </c>
      <c r="J31" s="10"/>
      <c r="K31" s="29"/>
      <c r="L31" s="29"/>
      <c r="M31" s="38"/>
    </row>
    <row r="32" spans="1:13" x14ac:dyDescent="0.25">
      <c r="A32" s="3" t="str">
        <f t="shared" si="0"/>
        <v>FRI</v>
      </c>
      <c r="B32" s="4">
        <v>43917</v>
      </c>
      <c r="C32" s="17">
        <v>5400</v>
      </c>
      <c r="D32" s="17">
        <v>5264</v>
      </c>
      <c r="E32" s="17">
        <f t="shared" si="1"/>
        <v>10664</v>
      </c>
      <c r="F32" s="18">
        <f t="shared" si="2"/>
        <v>136</v>
      </c>
      <c r="J32" s="10"/>
      <c r="K32" s="29"/>
      <c r="L32" s="29"/>
      <c r="M32" s="38"/>
    </row>
    <row r="33" spans="1:13" x14ac:dyDescent="0.25">
      <c r="A33" s="3" t="str">
        <f t="shared" si="0"/>
        <v>SAT</v>
      </c>
      <c r="B33" s="4">
        <v>43918</v>
      </c>
      <c r="C33" s="26">
        <v>3042</v>
      </c>
      <c r="D33" s="17">
        <v>2827</v>
      </c>
      <c r="E33" s="17">
        <f t="shared" si="1"/>
        <v>5869</v>
      </c>
      <c r="F33" s="18">
        <f t="shared" si="2"/>
        <v>215</v>
      </c>
      <c r="J33" s="10"/>
      <c r="K33" s="43"/>
      <c r="L33" s="29"/>
      <c r="M33" s="38"/>
    </row>
    <row r="34" spans="1:13" x14ac:dyDescent="0.25">
      <c r="A34" s="3" t="str">
        <f t="shared" si="0"/>
        <v>SUN</v>
      </c>
      <c r="B34" s="4">
        <v>43919</v>
      </c>
      <c r="C34" s="26">
        <v>2600</v>
      </c>
      <c r="D34" s="17">
        <v>2383</v>
      </c>
      <c r="E34" s="17">
        <f t="shared" si="1"/>
        <v>4983</v>
      </c>
      <c r="F34" s="18">
        <f t="shared" si="2"/>
        <v>217</v>
      </c>
      <c r="J34" s="10"/>
      <c r="K34" s="43"/>
      <c r="L34" s="29"/>
      <c r="M34" s="38"/>
    </row>
    <row r="35" spans="1:13" x14ac:dyDescent="0.25">
      <c r="A35" s="3" t="str">
        <f t="shared" si="0"/>
        <v>MON</v>
      </c>
      <c r="B35" s="4">
        <v>43920</v>
      </c>
      <c r="C35" s="17">
        <v>4448</v>
      </c>
      <c r="D35" s="17">
        <v>4393</v>
      </c>
      <c r="E35" s="17">
        <f t="shared" si="1"/>
        <v>8841</v>
      </c>
      <c r="F35" s="18">
        <f t="shared" si="2"/>
        <v>55</v>
      </c>
      <c r="J35" s="10"/>
      <c r="K35" s="29"/>
      <c r="L35" s="29"/>
      <c r="M35" s="38"/>
    </row>
    <row r="36" spans="1:13" ht="14.4" thickBot="1" x14ac:dyDescent="0.3">
      <c r="A36" s="3" t="str">
        <f t="shared" si="0"/>
        <v>TUE</v>
      </c>
      <c r="B36" s="22">
        <v>43921</v>
      </c>
      <c r="C36" s="17">
        <v>4097</v>
      </c>
      <c r="D36" s="17">
        <v>3995</v>
      </c>
      <c r="E36" s="19">
        <f t="shared" si="1"/>
        <v>8092</v>
      </c>
      <c r="F36" s="18">
        <f t="shared" si="2"/>
        <v>102</v>
      </c>
      <c r="J36" s="10"/>
      <c r="K36" s="29"/>
      <c r="L36" s="29"/>
      <c r="M36" s="38"/>
    </row>
    <row r="37" spans="1:13" ht="14.4" thickBot="1" x14ac:dyDescent="0.3">
      <c r="B37" s="23" t="s">
        <v>12</v>
      </c>
      <c r="C37" s="24">
        <f>SUM(C6:C36)</f>
        <v>461875</v>
      </c>
      <c r="D37" s="24">
        <f t="shared" ref="D37:E37" si="3">SUM(D6:D36)</f>
        <v>448604</v>
      </c>
      <c r="E37" s="25">
        <f t="shared" si="3"/>
        <v>910479</v>
      </c>
      <c r="F37" s="18"/>
      <c r="K37" s="29"/>
      <c r="L37" s="29"/>
      <c r="M37" s="38"/>
    </row>
    <row r="39" spans="1:13" ht="14.4" thickBot="1" x14ac:dyDescent="0.3"/>
    <row r="40" spans="1:13" ht="14.4" thickBot="1" x14ac:dyDescent="0.3">
      <c r="B40" s="45" t="s">
        <v>13</v>
      </c>
      <c r="C40" s="46"/>
      <c r="D40" s="46"/>
      <c r="E40" s="8">
        <f>E37</f>
        <v>910479</v>
      </c>
    </row>
  </sheetData>
  <mergeCells count="2">
    <mergeCell ref="A4:E4"/>
    <mergeCell ref="B40:D40"/>
  </mergeCells>
  <pageMargins left="0.7" right="0.7" top="0.75" bottom="0.75" header="0.3" footer="0.3"/>
  <ignoredErrors>
    <ignoredError sqref="E6:E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"/>
  <sheetViews>
    <sheetView workbookViewId="0">
      <selection activeCell="A2" sqref="A2:E2"/>
    </sheetView>
  </sheetViews>
  <sheetFormatPr defaultColWidth="12.6640625" defaultRowHeight="13.8" x14ac:dyDescent="0.25"/>
  <cols>
    <col min="1" max="5" width="12.6640625" style="1"/>
    <col min="6" max="6" width="0" style="1" hidden="1" customWidth="1"/>
    <col min="7" max="16384" width="12.6640625" style="1"/>
  </cols>
  <sheetData>
    <row r="1" spans="1:18" ht="14.4" thickBot="1" x14ac:dyDescent="0.3"/>
    <row r="2" spans="1:18" x14ac:dyDescent="0.25">
      <c r="A2" s="50" t="s">
        <v>5</v>
      </c>
      <c r="B2" s="51"/>
      <c r="C2" s="51"/>
      <c r="D2" s="51"/>
      <c r="E2" s="52"/>
      <c r="I2" s="47"/>
      <c r="J2" s="47"/>
      <c r="K2" s="47"/>
      <c r="L2" s="47"/>
      <c r="M2" s="47"/>
    </row>
    <row r="3" spans="1:18" ht="27.6" x14ac:dyDescent="0.25">
      <c r="A3" s="15" t="s">
        <v>0</v>
      </c>
      <c r="B3" s="6" t="s">
        <v>1</v>
      </c>
      <c r="C3" s="6" t="s">
        <v>2</v>
      </c>
      <c r="D3" s="6" t="s">
        <v>3</v>
      </c>
      <c r="E3" s="16" t="s">
        <v>4</v>
      </c>
      <c r="F3" s="1" t="s">
        <v>9</v>
      </c>
      <c r="I3" s="32"/>
      <c r="J3" s="32"/>
      <c r="K3" s="32"/>
      <c r="L3" s="32"/>
      <c r="M3" s="32"/>
    </row>
    <row r="4" spans="1:18" x14ac:dyDescent="0.25">
      <c r="A4" s="11" t="str">
        <f t="shared" ref="A4:A25" si="0">CHOOSE(WEEKDAY(B4),"SUN","MON","TUE","WED","THU","FRI","SAT")</f>
        <v>MON</v>
      </c>
      <c r="B4" s="7">
        <v>43892</v>
      </c>
      <c r="C4" s="17">
        <v>30952</v>
      </c>
      <c r="D4" s="17">
        <v>30793</v>
      </c>
      <c r="E4" s="20">
        <f>SUM(C4:D4)</f>
        <v>61745</v>
      </c>
      <c r="F4" s="1">
        <f>C4-D4</f>
        <v>159</v>
      </c>
      <c r="J4" s="10"/>
      <c r="M4" s="33"/>
      <c r="P4" s="10"/>
      <c r="Q4" s="27"/>
      <c r="R4" s="28"/>
    </row>
    <row r="5" spans="1:18" x14ac:dyDescent="0.25">
      <c r="A5" s="12" t="str">
        <f t="shared" si="0"/>
        <v>TUE</v>
      </c>
      <c r="B5" s="4">
        <v>43893</v>
      </c>
      <c r="C5" s="17">
        <v>29396</v>
      </c>
      <c r="D5" s="17">
        <v>28838</v>
      </c>
      <c r="E5" s="20">
        <f t="shared" ref="E5:E25" si="1">SUM(C5:D5)</f>
        <v>58234</v>
      </c>
      <c r="F5" s="1">
        <f t="shared" ref="F5:F25" si="2">C5-D5</f>
        <v>558</v>
      </c>
      <c r="J5" s="10"/>
      <c r="M5" s="33"/>
      <c r="P5" s="10"/>
    </row>
    <row r="6" spans="1:18" x14ac:dyDescent="0.25">
      <c r="A6" s="12" t="str">
        <f t="shared" si="0"/>
        <v>WED</v>
      </c>
      <c r="B6" s="4">
        <v>43894</v>
      </c>
      <c r="C6" s="17">
        <v>30430</v>
      </c>
      <c r="D6" s="17">
        <v>29924</v>
      </c>
      <c r="E6" s="20">
        <f t="shared" si="1"/>
        <v>60354</v>
      </c>
      <c r="F6" s="1">
        <f t="shared" si="2"/>
        <v>506</v>
      </c>
      <c r="J6" s="10"/>
      <c r="M6" s="33"/>
      <c r="P6" s="10"/>
    </row>
    <row r="7" spans="1:18" x14ac:dyDescent="0.25">
      <c r="A7" s="12" t="str">
        <f t="shared" si="0"/>
        <v>THU</v>
      </c>
      <c r="B7" s="4">
        <v>43895</v>
      </c>
      <c r="C7" s="17">
        <v>30586</v>
      </c>
      <c r="D7" s="17">
        <v>30242</v>
      </c>
      <c r="E7" s="20">
        <f t="shared" si="1"/>
        <v>60828</v>
      </c>
      <c r="F7" s="1">
        <f t="shared" si="2"/>
        <v>344</v>
      </c>
      <c r="J7" s="10"/>
      <c r="M7" s="33"/>
      <c r="P7" s="10"/>
    </row>
    <row r="8" spans="1:18" x14ac:dyDescent="0.25">
      <c r="A8" s="12" t="str">
        <f t="shared" si="0"/>
        <v>FRI</v>
      </c>
      <c r="B8" s="4">
        <v>43896</v>
      </c>
      <c r="C8" s="17">
        <v>27294</v>
      </c>
      <c r="D8" s="17">
        <v>27161</v>
      </c>
      <c r="E8" s="20">
        <f t="shared" si="1"/>
        <v>54455</v>
      </c>
      <c r="F8" s="1">
        <f t="shared" si="2"/>
        <v>133</v>
      </c>
      <c r="J8" s="10"/>
      <c r="M8" s="33"/>
      <c r="P8" s="10"/>
    </row>
    <row r="9" spans="1:18" x14ac:dyDescent="0.25">
      <c r="A9" s="12" t="str">
        <f t="shared" si="0"/>
        <v>MON</v>
      </c>
      <c r="B9" s="4">
        <v>43899</v>
      </c>
      <c r="C9" s="17">
        <v>30643</v>
      </c>
      <c r="D9" s="17">
        <v>30348</v>
      </c>
      <c r="E9" s="20">
        <f t="shared" si="1"/>
        <v>60991</v>
      </c>
      <c r="F9" s="1">
        <f t="shared" si="2"/>
        <v>295</v>
      </c>
      <c r="J9" s="10"/>
      <c r="M9" s="33"/>
      <c r="P9" s="10"/>
    </row>
    <row r="10" spans="1:18" x14ac:dyDescent="0.25">
      <c r="A10" s="12" t="str">
        <f t="shared" si="0"/>
        <v>TUE</v>
      </c>
      <c r="B10" s="4">
        <v>43900</v>
      </c>
      <c r="C10" s="17">
        <v>27526</v>
      </c>
      <c r="D10" s="17">
        <v>27012</v>
      </c>
      <c r="E10" s="20">
        <f t="shared" si="1"/>
        <v>54538</v>
      </c>
      <c r="F10" s="1">
        <f t="shared" si="2"/>
        <v>514</v>
      </c>
      <c r="J10" s="10"/>
      <c r="M10" s="33"/>
      <c r="P10" s="10"/>
      <c r="Q10" s="27"/>
      <c r="R10" s="28"/>
    </row>
    <row r="11" spans="1:18" x14ac:dyDescent="0.25">
      <c r="A11" s="12" t="str">
        <f t="shared" si="0"/>
        <v>WED</v>
      </c>
      <c r="B11" s="4">
        <v>43901</v>
      </c>
      <c r="C11" s="17">
        <v>27151</v>
      </c>
      <c r="D11" s="17">
        <v>26522</v>
      </c>
      <c r="E11" s="20">
        <f t="shared" si="1"/>
        <v>53673</v>
      </c>
      <c r="F11" s="1">
        <f t="shared" si="2"/>
        <v>629</v>
      </c>
      <c r="J11" s="10"/>
      <c r="M11" s="33"/>
      <c r="P11" s="10"/>
      <c r="Q11" s="27"/>
      <c r="R11" s="28"/>
    </row>
    <row r="12" spans="1:18" x14ac:dyDescent="0.25">
      <c r="A12" s="12" t="str">
        <f t="shared" si="0"/>
        <v>THU</v>
      </c>
      <c r="B12" s="4">
        <v>43902</v>
      </c>
      <c r="C12" s="17">
        <v>23962</v>
      </c>
      <c r="D12" s="17">
        <v>23564</v>
      </c>
      <c r="E12" s="20">
        <f t="shared" si="1"/>
        <v>47526</v>
      </c>
      <c r="F12" s="1">
        <f t="shared" si="2"/>
        <v>398</v>
      </c>
      <c r="J12" s="10"/>
      <c r="M12" s="33"/>
      <c r="P12" s="10"/>
    </row>
    <row r="13" spans="1:18" x14ac:dyDescent="0.25">
      <c r="A13" s="12" t="str">
        <f t="shared" si="0"/>
        <v>FRI</v>
      </c>
      <c r="B13" s="4">
        <v>43903</v>
      </c>
      <c r="C13" s="17">
        <v>21520</v>
      </c>
      <c r="D13" s="17">
        <v>20984</v>
      </c>
      <c r="E13" s="20">
        <f t="shared" si="1"/>
        <v>42504</v>
      </c>
      <c r="F13" s="1">
        <f t="shared" si="2"/>
        <v>536</v>
      </c>
      <c r="J13" s="10"/>
      <c r="M13" s="33"/>
      <c r="P13" s="10"/>
    </row>
    <row r="14" spans="1:18" x14ac:dyDescent="0.25">
      <c r="A14" s="12" t="str">
        <f t="shared" si="0"/>
        <v>MON</v>
      </c>
      <c r="B14" s="4">
        <v>43906</v>
      </c>
      <c r="C14" s="17">
        <v>14664</v>
      </c>
      <c r="D14" s="17">
        <v>14309</v>
      </c>
      <c r="E14" s="20">
        <f t="shared" si="1"/>
        <v>28973</v>
      </c>
      <c r="F14" s="1">
        <f t="shared" si="2"/>
        <v>355</v>
      </c>
      <c r="J14" s="10"/>
      <c r="M14" s="33"/>
      <c r="P14" s="10"/>
    </row>
    <row r="15" spans="1:18" x14ac:dyDescent="0.25">
      <c r="A15" s="12" t="str">
        <f t="shared" si="0"/>
        <v>TUE</v>
      </c>
      <c r="B15" s="4">
        <v>43907</v>
      </c>
      <c r="C15" s="17">
        <v>12314</v>
      </c>
      <c r="D15" s="17">
        <v>11863</v>
      </c>
      <c r="E15" s="20">
        <f t="shared" si="1"/>
        <v>24177</v>
      </c>
      <c r="F15" s="1">
        <f t="shared" si="2"/>
        <v>451</v>
      </c>
      <c r="J15" s="10"/>
      <c r="M15" s="33"/>
      <c r="P15" s="10"/>
    </row>
    <row r="16" spans="1:18" x14ac:dyDescent="0.25">
      <c r="A16" s="12" t="str">
        <f t="shared" si="0"/>
        <v>WED</v>
      </c>
      <c r="B16" s="4">
        <v>43908</v>
      </c>
      <c r="C16" s="17">
        <v>11456</v>
      </c>
      <c r="D16" s="17">
        <v>11189</v>
      </c>
      <c r="E16" s="20">
        <f t="shared" si="1"/>
        <v>22645</v>
      </c>
      <c r="F16" s="1">
        <f t="shared" si="2"/>
        <v>267</v>
      </c>
      <c r="J16" s="10"/>
      <c r="M16" s="33"/>
      <c r="P16" s="10"/>
    </row>
    <row r="17" spans="1:18" x14ac:dyDescent="0.25">
      <c r="A17" s="12" t="str">
        <f t="shared" si="0"/>
        <v>THU</v>
      </c>
      <c r="B17" s="4">
        <v>43909</v>
      </c>
      <c r="C17" s="17">
        <v>9817</v>
      </c>
      <c r="D17" s="17">
        <v>9575</v>
      </c>
      <c r="E17" s="20">
        <f t="shared" si="1"/>
        <v>19392</v>
      </c>
      <c r="F17" s="1">
        <f t="shared" si="2"/>
        <v>242</v>
      </c>
      <c r="J17" s="10"/>
      <c r="M17" s="33"/>
      <c r="P17" s="10"/>
      <c r="Q17" s="27"/>
      <c r="R17" s="28"/>
    </row>
    <row r="18" spans="1:18" x14ac:dyDescent="0.25">
      <c r="A18" s="12" t="str">
        <f t="shared" si="0"/>
        <v>FRI</v>
      </c>
      <c r="B18" s="4">
        <v>43910</v>
      </c>
      <c r="C18" s="17">
        <v>9302</v>
      </c>
      <c r="D18" s="17">
        <v>8841</v>
      </c>
      <c r="E18" s="20">
        <f t="shared" si="1"/>
        <v>18143</v>
      </c>
      <c r="F18" s="1">
        <f t="shared" si="2"/>
        <v>461</v>
      </c>
      <c r="J18" s="10"/>
      <c r="M18" s="33"/>
      <c r="P18" s="10"/>
      <c r="Q18" s="27"/>
      <c r="R18" s="28"/>
    </row>
    <row r="19" spans="1:18" x14ac:dyDescent="0.25">
      <c r="A19" s="12" t="str">
        <f t="shared" si="0"/>
        <v>MON</v>
      </c>
      <c r="B19" s="4">
        <v>43913</v>
      </c>
      <c r="C19" s="17">
        <v>5643</v>
      </c>
      <c r="D19" s="17">
        <v>5527</v>
      </c>
      <c r="E19" s="20">
        <f t="shared" si="1"/>
        <v>11170</v>
      </c>
      <c r="F19" s="1">
        <f t="shared" si="2"/>
        <v>116</v>
      </c>
      <c r="J19" s="10"/>
      <c r="M19" s="33"/>
      <c r="P19" s="10"/>
    </row>
    <row r="20" spans="1:18" x14ac:dyDescent="0.25">
      <c r="A20" s="12" t="str">
        <f t="shared" si="0"/>
        <v>TUE</v>
      </c>
      <c r="B20" s="4">
        <v>43914</v>
      </c>
      <c r="C20" s="17">
        <v>6044</v>
      </c>
      <c r="D20" s="17">
        <v>5737</v>
      </c>
      <c r="E20" s="20">
        <f t="shared" si="1"/>
        <v>11781</v>
      </c>
      <c r="F20" s="1">
        <f t="shared" si="2"/>
        <v>307</v>
      </c>
      <c r="J20" s="10"/>
      <c r="M20" s="33"/>
      <c r="P20" s="10"/>
    </row>
    <row r="21" spans="1:18" x14ac:dyDescent="0.25">
      <c r="A21" s="12" t="str">
        <f t="shared" si="0"/>
        <v>WED</v>
      </c>
      <c r="B21" s="4">
        <v>43915</v>
      </c>
      <c r="C21" s="17">
        <v>5475</v>
      </c>
      <c r="D21" s="17">
        <v>5422</v>
      </c>
      <c r="E21" s="20">
        <f t="shared" si="1"/>
        <v>10897</v>
      </c>
      <c r="F21" s="1">
        <f t="shared" si="2"/>
        <v>53</v>
      </c>
      <c r="J21" s="10"/>
      <c r="M21" s="33"/>
      <c r="P21" s="10"/>
    </row>
    <row r="22" spans="1:18" x14ac:dyDescent="0.25">
      <c r="A22" s="12" t="str">
        <f t="shared" si="0"/>
        <v>THU</v>
      </c>
      <c r="B22" s="4">
        <v>43916</v>
      </c>
      <c r="C22" s="17">
        <v>5616</v>
      </c>
      <c r="D22" s="17">
        <v>5302</v>
      </c>
      <c r="E22" s="20">
        <f t="shared" si="1"/>
        <v>10918</v>
      </c>
      <c r="F22" s="1">
        <f t="shared" si="2"/>
        <v>314</v>
      </c>
      <c r="J22" s="10"/>
      <c r="M22" s="33"/>
      <c r="P22" s="10"/>
    </row>
    <row r="23" spans="1:18" x14ac:dyDescent="0.25">
      <c r="A23" s="12" t="str">
        <f t="shared" si="0"/>
        <v>FRI</v>
      </c>
      <c r="B23" s="4">
        <v>43917</v>
      </c>
      <c r="C23" s="17">
        <v>5400</v>
      </c>
      <c r="D23" s="17">
        <v>5264</v>
      </c>
      <c r="E23" s="20">
        <f t="shared" si="1"/>
        <v>10664</v>
      </c>
      <c r="F23" s="1">
        <f t="shared" si="2"/>
        <v>136</v>
      </c>
      <c r="J23" s="10"/>
      <c r="M23" s="33"/>
      <c r="P23" s="10"/>
    </row>
    <row r="24" spans="1:18" x14ac:dyDescent="0.25">
      <c r="A24" s="12" t="str">
        <f t="shared" si="0"/>
        <v>MON</v>
      </c>
      <c r="B24" s="4">
        <v>43920</v>
      </c>
      <c r="C24" s="17">
        <v>4448</v>
      </c>
      <c r="D24" s="17">
        <v>4393</v>
      </c>
      <c r="E24" s="20">
        <f t="shared" si="1"/>
        <v>8841</v>
      </c>
      <c r="F24" s="1">
        <f t="shared" si="2"/>
        <v>55</v>
      </c>
      <c r="J24" s="10"/>
      <c r="M24" s="33"/>
      <c r="P24" s="10"/>
      <c r="Q24" s="27"/>
      <c r="R24" s="28"/>
    </row>
    <row r="25" spans="1:18" ht="14.4" thickBot="1" x14ac:dyDescent="0.3">
      <c r="A25" s="13" t="str">
        <f t="shared" si="0"/>
        <v>TUE</v>
      </c>
      <c r="B25" s="14">
        <v>43921</v>
      </c>
      <c r="C25" s="19">
        <v>4097</v>
      </c>
      <c r="D25" s="19">
        <v>3995</v>
      </c>
      <c r="E25" s="34">
        <f t="shared" si="1"/>
        <v>8092</v>
      </c>
      <c r="F25" s="1">
        <f t="shared" si="2"/>
        <v>102</v>
      </c>
      <c r="J25" s="10"/>
      <c r="M25" s="33"/>
      <c r="P25" s="10"/>
      <c r="Q25" s="27"/>
      <c r="R25" s="28"/>
    </row>
    <row r="26" spans="1:18" ht="14.4" thickBot="1" x14ac:dyDescent="0.3">
      <c r="B26" s="10"/>
      <c r="C26" s="39">
        <f>SUM(C4:C25)</f>
        <v>373736</v>
      </c>
      <c r="D26" s="40">
        <f>SUM(D4:D25)</f>
        <v>366805</v>
      </c>
      <c r="E26" s="41">
        <f>SUM(E4:E25)</f>
        <v>740541</v>
      </c>
      <c r="J26" s="10"/>
      <c r="K26" s="30"/>
      <c r="L26" s="30"/>
      <c r="M26" s="30"/>
      <c r="P26" s="10"/>
    </row>
    <row r="27" spans="1:18" ht="14.4" thickBot="1" x14ac:dyDescent="0.3">
      <c r="J27" s="10"/>
      <c r="P27" s="10"/>
    </row>
    <row r="28" spans="1:18" ht="14.4" thickBot="1" x14ac:dyDescent="0.3">
      <c r="A28" s="45" t="s">
        <v>8</v>
      </c>
      <c r="B28" s="46"/>
      <c r="C28" s="46"/>
      <c r="D28" s="46"/>
      <c r="E28" s="8">
        <f>E26</f>
        <v>740541</v>
      </c>
      <c r="J28" s="10"/>
      <c r="P28" s="10"/>
    </row>
    <row r="29" spans="1:18" ht="14.4" thickBot="1" x14ac:dyDescent="0.3">
      <c r="A29" s="53" t="s">
        <v>7</v>
      </c>
      <c r="B29" s="54"/>
      <c r="C29" s="54"/>
      <c r="D29" s="54"/>
      <c r="E29" s="9">
        <f>AVERAGE(E4:E25)</f>
        <v>33660.954545454544</v>
      </c>
      <c r="J29" s="10"/>
      <c r="P29" s="10"/>
    </row>
    <row r="30" spans="1:18" x14ac:dyDescent="0.25">
      <c r="J30" s="10"/>
      <c r="P30" s="10"/>
    </row>
    <row r="31" spans="1:18" x14ac:dyDescent="0.25">
      <c r="J31" s="10"/>
      <c r="P31" s="10"/>
    </row>
    <row r="32" spans="1:18" ht="14.4" thickBot="1" x14ac:dyDescent="0.3">
      <c r="J32" s="10"/>
      <c r="P32" s="10"/>
      <c r="Q32" s="27"/>
      <c r="R32" s="28"/>
    </row>
    <row r="33" spans="1:18" x14ac:dyDescent="0.25">
      <c r="A33" s="50" t="s">
        <v>6</v>
      </c>
      <c r="B33" s="51"/>
      <c r="C33" s="51"/>
      <c r="D33" s="51"/>
      <c r="E33" s="52"/>
      <c r="I33" s="47"/>
      <c r="J33" s="47"/>
      <c r="K33" s="47"/>
      <c r="L33" s="47"/>
      <c r="M33" s="47"/>
      <c r="P33" s="10"/>
      <c r="Q33" s="27"/>
      <c r="R33" s="28"/>
    </row>
    <row r="34" spans="1:18" x14ac:dyDescent="0.25">
      <c r="A34" s="55"/>
      <c r="B34" s="56"/>
      <c r="C34" s="56"/>
      <c r="D34" s="56"/>
      <c r="E34" s="57"/>
      <c r="I34" s="31"/>
      <c r="J34" s="31"/>
      <c r="K34" s="31"/>
      <c r="L34" s="31"/>
      <c r="M34" s="31"/>
      <c r="P34" s="10"/>
      <c r="Q34" s="27"/>
      <c r="R34" s="28"/>
    </row>
    <row r="35" spans="1:18" ht="27.6" x14ac:dyDescent="0.25">
      <c r="A35" s="15" t="s">
        <v>0</v>
      </c>
      <c r="B35" s="6" t="s">
        <v>1</v>
      </c>
      <c r="C35" s="6" t="s">
        <v>2</v>
      </c>
      <c r="D35" s="6" t="s">
        <v>3</v>
      </c>
      <c r="E35" s="16" t="s">
        <v>4</v>
      </c>
      <c r="I35" s="32"/>
      <c r="J35" s="32"/>
      <c r="K35" s="32"/>
      <c r="L35" s="32"/>
      <c r="M35" s="32"/>
      <c r="P35" s="10"/>
    </row>
    <row r="36" spans="1:18" x14ac:dyDescent="0.25">
      <c r="A36" s="12" t="str">
        <f t="shared" ref="A36:A44" si="3">CHOOSE(WEEKDAY(B36),"SUN","MON","TUE","WED","THU","FRI","SAT")</f>
        <v>SUN</v>
      </c>
      <c r="B36" s="4">
        <v>43891</v>
      </c>
      <c r="C36" s="17">
        <v>15965</v>
      </c>
      <c r="D36" s="17">
        <v>14925</v>
      </c>
      <c r="E36" s="20">
        <f>SUM(C36:D36)</f>
        <v>30890</v>
      </c>
      <c r="F36" s="18">
        <f>C36-D36</f>
        <v>1040</v>
      </c>
      <c r="J36" s="10"/>
      <c r="K36" s="27"/>
      <c r="L36" s="28"/>
      <c r="M36" s="33"/>
      <c r="P36" s="10"/>
    </row>
    <row r="37" spans="1:18" x14ac:dyDescent="0.25">
      <c r="A37" s="12" t="str">
        <f t="shared" si="3"/>
        <v>SAT</v>
      </c>
      <c r="B37" s="4">
        <v>43897</v>
      </c>
      <c r="C37" s="17">
        <v>19073</v>
      </c>
      <c r="D37" s="17">
        <v>18573</v>
      </c>
      <c r="E37" s="20">
        <f t="shared" ref="E37:E44" si="4">SUM(C37:D37)</f>
        <v>37646</v>
      </c>
      <c r="F37" s="18">
        <f t="shared" ref="F37:F44" si="5">C37-D37</f>
        <v>500</v>
      </c>
      <c r="J37" s="10"/>
      <c r="K37" s="27"/>
      <c r="L37" s="28"/>
      <c r="M37" s="33"/>
    </row>
    <row r="38" spans="1:18" x14ac:dyDescent="0.25">
      <c r="A38" s="12" t="str">
        <f t="shared" si="3"/>
        <v>SUN</v>
      </c>
      <c r="B38" s="4">
        <v>43898</v>
      </c>
      <c r="C38" s="17">
        <v>16584</v>
      </c>
      <c r="D38" s="17">
        <v>15232</v>
      </c>
      <c r="E38" s="20">
        <f t="shared" si="4"/>
        <v>31816</v>
      </c>
      <c r="F38" s="18">
        <f t="shared" si="5"/>
        <v>1352</v>
      </c>
      <c r="J38" s="10"/>
      <c r="K38" s="27"/>
      <c r="L38" s="28"/>
      <c r="M38" s="33"/>
    </row>
    <row r="39" spans="1:18" x14ac:dyDescent="0.25">
      <c r="A39" s="12" t="str">
        <f t="shared" si="3"/>
        <v>SAT</v>
      </c>
      <c r="B39" s="4">
        <v>43904</v>
      </c>
      <c r="C39" s="17">
        <v>12761</v>
      </c>
      <c r="D39" s="17">
        <v>11618</v>
      </c>
      <c r="E39" s="20">
        <f t="shared" si="4"/>
        <v>24379</v>
      </c>
      <c r="F39" s="18">
        <f t="shared" si="5"/>
        <v>1143</v>
      </c>
      <c r="J39" s="10"/>
      <c r="K39" s="27"/>
      <c r="L39" s="28"/>
      <c r="M39" s="33"/>
    </row>
    <row r="40" spans="1:18" x14ac:dyDescent="0.25">
      <c r="A40" s="12" t="str">
        <f t="shared" si="3"/>
        <v>SUN</v>
      </c>
      <c r="B40" s="4">
        <v>43905</v>
      </c>
      <c r="C40" s="17">
        <v>9629</v>
      </c>
      <c r="D40" s="17">
        <v>8462</v>
      </c>
      <c r="E40" s="20">
        <f t="shared" si="4"/>
        <v>18091</v>
      </c>
      <c r="F40" s="18">
        <f t="shared" si="5"/>
        <v>1167</v>
      </c>
      <c r="J40" s="10"/>
      <c r="K40" s="27"/>
      <c r="L40" s="28"/>
      <c r="M40" s="33"/>
    </row>
    <row r="41" spans="1:18" x14ac:dyDescent="0.25">
      <c r="A41" s="12" t="str">
        <f t="shared" si="3"/>
        <v>SAT</v>
      </c>
      <c r="B41" s="4">
        <v>43911</v>
      </c>
      <c r="C41" s="17">
        <v>4975</v>
      </c>
      <c r="D41" s="17">
        <v>4584</v>
      </c>
      <c r="E41" s="20">
        <f t="shared" si="4"/>
        <v>9559</v>
      </c>
      <c r="F41" s="18">
        <f t="shared" si="5"/>
        <v>391</v>
      </c>
      <c r="J41" s="10"/>
      <c r="K41" s="27"/>
      <c r="L41" s="28"/>
      <c r="M41" s="33"/>
    </row>
    <row r="42" spans="1:18" x14ac:dyDescent="0.25">
      <c r="A42" s="12" t="str">
        <f t="shared" si="3"/>
        <v>SUN</v>
      </c>
      <c r="B42" s="4">
        <v>43912</v>
      </c>
      <c r="C42" s="17">
        <v>3510</v>
      </c>
      <c r="D42" s="17">
        <v>3195</v>
      </c>
      <c r="E42" s="20">
        <f t="shared" si="4"/>
        <v>6705</v>
      </c>
      <c r="F42" s="18">
        <f t="shared" si="5"/>
        <v>315</v>
      </c>
      <c r="J42" s="10"/>
      <c r="K42" s="27"/>
      <c r="L42" s="28"/>
      <c r="M42" s="33"/>
    </row>
    <row r="43" spans="1:18" x14ac:dyDescent="0.25">
      <c r="A43" s="12" t="str">
        <f t="shared" si="3"/>
        <v>SAT</v>
      </c>
      <c r="B43" s="4">
        <v>43918</v>
      </c>
      <c r="C43" s="17">
        <v>3042</v>
      </c>
      <c r="D43" s="17">
        <v>2827</v>
      </c>
      <c r="E43" s="20">
        <f t="shared" si="4"/>
        <v>5869</v>
      </c>
      <c r="F43" s="18">
        <f t="shared" si="5"/>
        <v>215</v>
      </c>
      <c r="J43" s="10"/>
      <c r="K43" s="27"/>
      <c r="L43" s="28"/>
      <c r="M43" s="33"/>
    </row>
    <row r="44" spans="1:18" ht="14.4" thickBot="1" x14ac:dyDescent="0.3">
      <c r="A44" s="13" t="str">
        <f t="shared" si="3"/>
        <v>SUN</v>
      </c>
      <c r="B44" s="14">
        <v>43919</v>
      </c>
      <c r="C44" s="19">
        <v>2600</v>
      </c>
      <c r="D44" s="19">
        <v>2383</v>
      </c>
      <c r="E44" s="34">
        <f t="shared" si="4"/>
        <v>4983</v>
      </c>
      <c r="F44" s="18">
        <f t="shared" si="5"/>
        <v>217</v>
      </c>
      <c r="J44" s="10"/>
      <c r="K44" s="27"/>
      <c r="L44" s="28"/>
      <c r="M44" s="33"/>
    </row>
    <row r="45" spans="1:18" ht="14.4" thickBot="1" x14ac:dyDescent="0.3">
      <c r="C45" s="35">
        <f>SUM(C36:C44)</f>
        <v>88139</v>
      </c>
      <c r="D45" s="36">
        <f>SUM(D36:D44)</f>
        <v>81799</v>
      </c>
      <c r="E45" s="37">
        <f>SUM(E36:E44)</f>
        <v>169938</v>
      </c>
      <c r="F45" s="18"/>
      <c r="K45" s="33"/>
      <c r="L45" s="33"/>
      <c r="M45" s="33"/>
    </row>
    <row r="46" spans="1:18" ht="14.4" thickBot="1" x14ac:dyDescent="0.3"/>
    <row r="47" spans="1:18" ht="14.4" thickBot="1" x14ac:dyDescent="0.3">
      <c r="A47" s="48" t="s">
        <v>10</v>
      </c>
      <c r="B47" s="49"/>
      <c r="C47" s="49"/>
      <c r="D47" s="49"/>
      <c r="E47" s="21">
        <f>AVERAGE(E37,E39,E41,E43)</f>
        <v>19363.25</v>
      </c>
    </row>
    <row r="48" spans="1:18" ht="14.4" thickBot="1" x14ac:dyDescent="0.3">
      <c r="A48" s="48" t="s">
        <v>11</v>
      </c>
      <c r="B48" s="49"/>
      <c r="C48" s="49"/>
      <c r="D48" s="49"/>
      <c r="E48" s="21">
        <f>AVERAGE(E36,E38,E40,E42,E44)</f>
        <v>18497</v>
      </c>
      <c r="M48" s="38"/>
    </row>
  </sheetData>
  <mergeCells count="8">
    <mergeCell ref="I2:M2"/>
    <mergeCell ref="I33:M33"/>
    <mergeCell ref="A48:D48"/>
    <mergeCell ref="A2:E2"/>
    <mergeCell ref="A33:E33"/>
    <mergeCell ref="A28:D28"/>
    <mergeCell ref="A29:D29"/>
    <mergeCell ref="A47:D47"/>
  </mergeCells>
  <pageMargins left="0.7" right="0.7" top="0.75" bottom="0.75" header="0.3" footer="0.3"/>
  <pageSetup orientation="portrait" r:id="rId1"/>
  <ignoredErrors>
    <ignoredError sqref="E4 E5:E25 E36:E4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FE0E41C-9113-477D-9EFC-15779AD7DD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B33CCB-013A-44E0-AAA1-A5A8BBB557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546550-430A-47F0-AE3F-09667640438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 - 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2020-04-13T19:37:57Z</dcterms:created>
  <dcterms:modified xsi:type="dcterms:W3CDTF">2026-04-07T21:04:09Z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