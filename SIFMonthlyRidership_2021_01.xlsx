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aba793b93b84dd1b/Documents/Python for Data Analytics/Capstone_project/Edited SIFMonthlyRidership_2017_to_2025/"/>
    </mc:Choice>
  </mc:AlternateContent>
  <xr:revisionPtr revIDLastSave="0" documentId="8_{4C824A5B-918B-429B-A20A-00CB632FABD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OTALS" sheetId="1" r:id="rId1"/>
    <sheet name="Weekday-Weeken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7" i="2" l="1"/>
  <c r="C47" i="2"/>
  <c r="E38" i="2"/>
  <c r="E39" i="2"/>
  <c r="E40" i="2"/>
  <c r="E41" i="2"/>
  <c r="E42" i="2"/>
  <c r="E43" i="2"/>
  <c r="E44" i="2"/>
  <c r="E45" i="2"/>
  <c r="E46" i="2"/>
  <c r="C26" i="2"/>
  <c r="D26" i="2"/>
  <c r="A7" i="1"/>
  <c r="B8" i="1"/>
  <c r="A8" i="1" s="1"/>
  <c r="B9" i="1"/>
  <c r="A9" i="1" s="1"/>
  <c r="B10" i="1"/>
  <c r="A10" i="1" s="1"/>
  <c r="F25" i="2"/>
  <c r="E25" i="2"/>
  <c r="F36" i="1"/>
  <c r="F37" i="1"/>
  <c r="E36" i="1"/>
  <c r="E37" i="1"/>
  <c r="F44" i="2"/>
  <c r="F43" i="2"/>
  <c r="F24" i="2"/>
  <c r="F42" i="2"/>
  <c r="D38" i="1"/>
  <c r="C38" i="1"/>
  <c r="F41" i="2"/>
  <c r="E24" i="2"/>
  <c r="F35" i="1"/>
  <c r="E35" i="1"/>
  <c r="E5" i="2"/>
  <c r="E34" i="1"/>
  <c r="E27" i="1"/>
  <c r="E28" i="1"/>
  <c r="E29" i="1"/>
  <c r="E30" i="1"/>
  <c r="E31" i="1"/>
  <c r="E32" i="1"/>
  <c r="E16" i="2"/>
  <c r="E17" i="2"/>
  <c r="E18" i="2"/>
  <c r="F37" i="2"/>
  <c r="F38" i="2"/>
  <c r="F39" i="2"/>
  <c r="F40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5" i="2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7" i="1"/>
  <c r="E37" i="2"/>
  <c r="E47" i="2" s="1"/>
  <c r="E49" i="2" s="1"/>
  <c r="E33" i="1"/>
  <c r="E7" i="1"/>
  <c r="E8" i="1"/>
  <c r="E6" i="2"/>
  <c r="E7" i="2"/>
  <c r="E8" i="2"/>
  <c r="E9" i="2"/>
  <c r="E10" i="2"/>
  <c r="E11" i="2"/>
  <c r="E12" i="2"/>
  <c r="E13" i="2"/>
  <c r="E14" i="2"/>
  <c r="E15" i="2"/>
  <c r="E19" i="2"/>
  <c r="E20" i="2"/>
  <c r="E21" i="2"/>
  <c r="E22" i="2"/>
  <c r="E23" i="2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F26" i="2" l="1"/>
  <c r="E29" i="2"/>
  <c r="E51" i="2"/>
  <c r="F47" i="2"/>
  <c r="E52" i="2"/>
  <c r="E38" i="1"/>
  <c r="E40" i="1" s="1"/>
  <c r="F38" i="1"/>
  <c r="B11" i="1"/>
  <c r="E26" i="2"/>
  <c r="E28" i="2" s="1"/>
  <c r="A11" i="1" l="1"/>
  <c r="B12" i="1"/>
  <c r="A12" i="1" l="1"/>
  <c r="B13" i="1"/>
  <c r="B14" i="1" l="1"/>
  <c r="A13" i="1"/>
  <c r="A14" i="1" l="1"/>
  <c r="B15" i="1"/>
  <c r="B16" i="1" l="1"/>
  <c r="A15" i="1"/>
  <c r="B17" i="1" l="1"/>
  <c r="A16" i="1"/>
  <c r="B18" i="1" l="1"/>
  <c r="A17" i="1"/>
  <c r="A18" i="1" l="1"/>
  <c r="B19" i="1"/>
  <c r="B20" i="1" l="1"/>
  <c r="A19" i="1"/>
  <c r="B21" i="1" l="1"/>
  <c r="A20" i="1"/>
  <c r="A21" i="1" l="1"/>
  <c r="B22" i="1"/>
  <c r="B23" i="1" l="1"/>
  <c r="A22" i="1"/>
  <c r="A23" i="1" l="1"/>
  <c r="B24" i="1"/>
  <c r="A24" i="1" l="1"/>
  <c r="B25" i="1"/>
  <c r="A25" i="1" l="1"/>
  <c r="B26" i="1"/>
  <c r="A26" i="1" l="1"/>
  <c r="B27" i="1"/>
  <c r="B28" i="1" l="1"/>
  <c r="A27" i="1"/>
  <c r="A28" i="1" l="1"/>
  <c r="B29" i="1"/>
  <c r="B30" i="1" l="1"/>
  <c r="A29" i="1"/>
  <c r="B31" i="1" l="1"/>
  <c r="A30" i="1"/>
  <c r="B32" i="1" l="1"/>
  <c r="A31" i="1"/>
  <c r="A32" i="1" l="1"/>
  <c r="B33" i="1"/>
  <c r="B34" i="1" l="1"/>
  <c r="A33" i="1"/>
  <c r="B35" i="1" l="1"/>
  <c r="A34" i="1"/>
  <c r="B36" i="1" l="1"/>
  <c r="A35" i="1"/>
  <c r="B37" i="1" l="1"/>
  <c r="A37" i="1" s="1"/>
  <c r="A36" i="1"/>
</calcChain>
</file>

<file path=xl/sharedStrings.xml><?xml version="1.0" encoding="utf-8"?>
<sst xmlns="http://schemas.openxmlformats.org/spreadsheetml/2006/main" count="61" uniqueCount="23">
  <si>
    <t>Day</t>
  </si>
  <si>
    <t>Date</t>
  </si>
  <si>
    <t>TOTALS:</t>
  </si>
  <si>
    <t>WED</t>
  </si>
  <si>
    <t>THU</t>
  </si>
  <si>
    <t>WHT</t>
  </si>
  <si>
    <t>STG</t>
  </si>
  <si>
    <t>FRI</t>
  </si>
  <si>
    <t>SAT</t>
  </si>
  <si>
    <t>SUN</t>
  </si>
  <si>
    <t>MON</t>
  </si>
  <si>
    <t>Difference</t>
  </si>
  <si>
    <t xml:space="preserve">Average Saturday Passengers: </t>
  </si>
  <si>
    <t xml:space="preserve">Average Sunday Passengers: </t>
  </si>
  <si>
    <t xml:space="preserve">Average Passengers/Weekday: </t>
  </si>
  <si>
    <t>TUES</t>
  </si>
  <si>
    <t xml:space="preserve">      January 2021 Staten Island Ferry Ridership</t>
  </si>
  <si>
    <t xml:space="preserve">PASSENGER COUNT TOTAL:  </t>
  </si>
  <si>
    <t>Combined TOTAL</t>
  </si>
  <si>
    <t xml:space="preserve">January 2021:  WEEKDAY TOTALS </t>
  </si>
  <si>
    <t xml:space="preserve">Total Weekday Pax Count January 2021: </t>
  </si>
  <si>
    <t xml:space="preserve">January 2021:  WEEKEND TOTALS </t>
  </si>
  <si>
    <t xml:space="preserve">Total Weekend Pax Count January 2021: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</si>
</sst>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(* #,##0_);_(* \(#,##0\);_(* &quot;-&quot;_);_(@_)"/>
    <numFmt numFmtId="164" formatCode="0.0%"/>
  </numFmts>
  <fonts count="8" x14ac:knownFonts="1">
    <font>
      <sz val="10"/>
      <name val="Arial"/>
    </font>
    <font>
      <sz val="10"/>
      <name val="Arial"/>
    </font>
    <font>
      <sz val="8"/>
      <name val="Arial"/>
      <family val="2"/>
    </font>
    <font>
      <sz val="10"/>
      <name val="Century Gothic"/>
      <family val="2"/>
    </font>
    <font>
      <b/>
      <sz val="10"/>
      <name val="Century Gothic"/>
      <family val="2"/>
    </font>
    <font>
      <b/>
      <sz val="10"/>
      <color indexed="9"/>
      <name val="Century Gothic"/>
      <family val="2"/>
    </font>
    <font>
      <b/>
      <sz val="10"/>
      <color indexed="8"/>
      <name val="Century Gothic"/>
      <family val="2"/>
    </font>
    <font>
      <sz val="10"/>
      <color indexed="8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52"/>
        <bgColor indexed="64"/>
      </patternFill>
    </fill>
  </fills>
  <borders count="16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8"/>
      </bottom>
      <diagonal/>
    </border>
    <border>
      <left/>
      <right style="medium">
        <color indexed="64"/>
      </right>
      <top/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3" fillId="0" borderId="0" xfId="0" applyFont="1"/>
    <xf numFmtId="0" fontId="4" fillId="0" borderId="0" xfId="0" applyFont="1"/>
    <xf numFmtId="14" fontId="4" fillId="0" borderId="0" xfId="0" applyNumberFormat="1" applyFont="1" applyAlignment="1">
      <alignment horizontal="right"/>
    </xf>
    <xf numFmtId="41" fontId="4" fillId="0" borderId="0" xfId="0" applyNumberFormat="1" applyFont="1" applyAlignment="1">
      <alignment horizontal="center"/>
    </xf>
    <xf numFmtId="37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41" fontId="3" fillId="0" borderId="0" xfId="0" applyNumberFormat="1" applyFont="1" applyAlignment="1">
      <alignment horizontal="center"/>
    </xf>
    <xf numFmtId="3" fontId="3" fillId="0" borderId="0" xfId="0" applyNumberFormat="1" applyFont="1"/>
    <xf numFmtId="0" fontId="3" fillId="0" borderId="0" xfId="0" applyFont="1" applyAlignment="1">
      <alignment horizontal="right"/>
    </xf>
    <xf numFmtId="3" fontId="3" fillId="0" borderId="1" xfId="0" applyNumberFormat="1" applyFont="1" applyBorder="1" applyAlignment="1">
      <alignment horizontal="center"/>
    </xf>
    <xf numFmtId="3" fontId="3" fillId="0" borderId="2" xfId="0" applyNumberFormat="1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41" fontId="3" fillId="0" borderId="0" xfId="0" applyNumberFormat="1" applyFont="1"/>
    <xf numFmtId="37" fontId="4" fillId="0" borderId="0" xfId="0" applyNumberFormat="1" applyFont="1" applyAlignment="1">
      <alignment horizontal="right"/>
    </xf>
    <xf numFmtId="37" fontId="4" fillId="0" borderId="0" xfId="0" applyNumberFormat="1" applyFont="1" applyAlignment="1">
      <alignment horizontal="right" vertical="center"/>
    </xf>
    <xf numFmtId="164" fontId="3" fillId="0" borderId="0" xfId="1" applyNumberFormat="1" applyFont="1"/>
    <xf numFmtId="37" fontId="4" fillId="2" borderId="4" xfId="0" applyNumberFormat="1" applyFont="1" applyFill="1" applyBorder="1" applyAlignment="1">
      <alignment horizontal="center"/>
    </xf>
    <xf numFmtId="41" fontId="4" fillId="2" borderId="4" xfId="0" applyNumberFormat="1" applyFont="1" applyFill="1" applyBorder="1" applyAlignment="1">
      <alignment horizontal="center"/>
    </xf>
    <xf numFmtId="0" fontId="3" fillId="0" borderId="5" xfId="0" applyFont="1" applyBorder="1" applyAlignment="1">
      <alignment horizontal="center"/>
    </xf>
    <xf numFmtId="14" fontId="3" fillId="0" borderId="5" xfId="0" applyNumberFormat="1" applyFont="1" applyBorder="1" applyAlignment="1">
      <alignment horizontal="center"/>
    </xf>
    <xf numFmtId="3" fontId="3" fillId="0" borderId="5" xfId="0" applyNumberFormat="1" applyFont="1" applyBorder="1" applyAlignment="1">
      <alignment horizontal="center"/>
    </xf>
    <xf numFmtId="3" fontId="7" fillId="0" borderId="5" xfId="0" applyNumberFormat="1" applyFont="1" applyBorder="1" applyAlignment="1">
      <alignment horizontal="center"/>
    </xf>
    <xf numFmtId="14" fontId="4" fillId="2" borderId="5" xfId="0" applyNumberFormat="1" applyFont="1" applyFill="1" applyBorder="1" applyAlignment="1">
      <alignment horizontal="right"/>
    </xf>
    <xf numFmtId="41" fontId="4" fillId="2" borderId="5" xfId="0" applyNumberFormat="1" applyFont="1" applyFill="1" applyBorder="1" applyAlignment="1">
      <alignment horizontal="center"/>
    </xf>
    <xf numFmtId="0" fontId="3" fillId="0" borderId="6" xfId="0" applyFont="1" applyBorder="1"/>
    <xf numFmtId="14" fontId="4" fillId="2" borderId="7" xfId="0" applyNumberFormat="1" applyFont="1" applyFill="1" applyBorder="1" applyAlignment="1">
      <alignment horizontal="right"/>
    </xf>
    <xf numFmtId="41" fontId="4" fillId="2" borderId="7" xfId="0" applyNumberFormat="1" applyFont="1" applyFill="1" applyBorder="1" applyAlignment="1">
      <alignment horizontal="center"/>
    </xf>
    <xf numFmtId="37" fontId="4" fillId="2" borderId="7" xfId="0" applyNumberFormat="1" applyFont="1" applyFill="1" applyBorder="1" applyAlignment="1">
      <alignment horizontal="center"/>
    </xf>
    <xf numFmtId="0" fontId="4" fillId="0" borderId="5" xfId="0" applyFont="1" applyBorder="1"/>
    <xf numFmtId="41" fontId="4" fillId="2" borderId="5" xfId="0" applyNumberFormat="1" applyFont="1" applyFill="1" applyBorder="1" applyAlignment="1">
      <alignment horizontal="left"/>
    </xf>
    <xf numFmtId="37" fontId="4" fillId="2" borderId="5" xfId="0" applyNumberFormat="1" applyFont="1" applyFill="1" applyBorder="1" applyAlignment="1">
      <alignment horizontal="right"/>
    </xf>
    <xf numFmtId="37" fontId="4" fillId="2" borderId="5" xfId="0" applyNumberFormat="1" applyFont="1" applyFill="1" applyBorder="1" applyAlignment="1">
      <alignment horizontal="right" vertical="center"/>
    </xf>
    <xf numFmtId="17" fontId="5" fillId="3" borderId="8" xfId="0" applyNumberFormat="1" applyFont="1" applyFill="1" applyBorder="1" applyAlignment="1">
      <alignment horizontal="center"/>
    </xf>
    <xf numFmtId="0" fontId="5" fillId="3" borderId="9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0" fontId="6" fillId="4" borderId="10" xfId="0" applyFont="1" applyFill="1" applyBorder="1" applyAlignment="1">
      <alignment horizontal="center" vertical="center"/>
    </xf>
    <xf numFmtId="0" fontId="6" fillId="4" borderId="11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/>
    </xf>
    <xf numFmtId="0" fontId="4" fillId="2" borderId="13" xfId="0" applyFont="1" applyFill="1" applyBorder="1" applyAlignment="1">
      <alignment horizontal="center"/>
    </xf>
    <xf numFmtId="0" fontId="6" fillId="4" borderId="3" xfId="0" applyFont="1" applyFill="1" applyBorder="1" applyAlignment="1">
      <alignment horizontal="center" vertical="center"/>
    </xf>
    <xf numFmtId="0" fontId="3" fillId="0" borderId="3" xfId="0" applyFont="1" applyBorder="1"/>
    <xf numFmtId="0" fontId="6" fillId="4" borderId="5" xfId="0" applyFont="1" applyFill="1" applyBorder="1" applyAlignment="1">
      <alignment horizontal="center" vertical="center"/>
    </xf>
    <xf numFmtId="0" fontId="3" fillId="0" borderId="5" xfId="0" applyFont="1" applyBorder="1"/>
    <xf numFmtId="0" fontId="6" fillId="4" borderId="5" xfId="0" applyFont="1" applyFill="1" applyBorder="1" applyAlignment="1">
      <alignment horizontal="center" vertical="center" wrapText="1"/>
    </xf>
    <xf numFmtId="0" fontId="6" fillId="4" borderId="14" xfId="0" applyFont="1" applyFill="1" applyBorder="1" applyAlignment="1">
      <alignment horizontal="center" vertical="top" wrapText="1"/>
    </xf>
    <xf numFmtId="0" fontId="6" fillId="4" borderId="15" xfId="0" applyFont="1" applyFill="1" applyBorder="1" applyAlignment="1">
      <alignment horizontal="center" vertical="top" wrapText="1"/>
    </xf>
    <xf numFmtId="41" fontId="4" fillId="2" borderId="5" xfId="0" applyNumberFormat="1" applyFont="1" applyFill="1" applyBorder="1" applyAlignment="1">
      <alignment horizontal="right"/>
    </xf>
    <xf numFmtId="0" fontId="5" fillId="3" borderId="5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38100</xdr:rowOff>
    </xdr:from>
    <xdr:to>
      <xdr:col>1</xdr:col>
      <xdr:colOff>190500</xdr:colOff>
      <xdr:row>2</xdr:row>
      <xdr:rowOff>152400</xdr:rowOff>
    </xdr:to>
    <xdr:pic>
      <xdr:nvPicPr>
        <xdr:cNvPr id="1718" name="Picture 31" descr="DOT%20Logo_green">
          <a:extLst>
            <a:ext uri="{FF2B5EF4-FFF2-40B4-BE49-F238E27FC236}">
              <a16:creationId xmlns:a16="http://schemas.microsoft.com/office/drawing/2014/main" id="{00000000-0008-0000-0000-0000B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8100"/>
          <a:ext cx="733425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3"/>
  <sheetViews>
    <sheetView tabSelected="1" workbookViewId="0"/>
  </sheetViews>
  <sheetFormatPr defaultColWidth="9.109375" defaultRowHeight="13.2" x14ac:dyDescent="0.25"/>
  <cols>
    <col min="1" max="1" width="9.109375" style="1" customWidth="1"/>
    <col min="2" max="2" width="13.44140625" style="1" customWidth="1"/>
    <col min="3" max="5" width="12.33203125" style="1" customWidth="1"/>
    <col min="6" max="6" width="10.44140625" style="1" hidden="1" customWidth="1"/>
    <col min="7" max="7" width="10" style="1" bestFit="1" customWidth="1"/>
    <col min="8" max="16384" width="9.109375" style="1"/>
  </cols>
  <sheetData>
    <row r="1" spans="1:9" ht="12.75" customHeight="1" x14ac:dyDescent="0.25"/>
    <row r="2" spans="1:9" x14ac:dyDescent="0.25">
      <c r="A2" s="2"/>
      <c r="B2" s="2" t="s">
        <v>16</v>
      </c>
      <c r="C2" s="2"/>
      <c r="D2" s="2"/>
      <c r="E2" s="2"/>
      <c r="F2" s="2"/>
    </row>
    <row r="3" spans="1:9" ht="15" customHeight="1" thickBot="1" x14ac:dyDescent="0.3"/>
    <row r="4" spans="1:9" ht="13.8" thickBot="1" x14ac:dyDescent="0.3">
      <c r="A4" s="33">
        <v>44197</v>
      </c>
      <c r="B4" s="34"/>
      <c r="C4" s="34"/>
      <c r="D4" s="34"/>
      <c r="E4" s="34"/>
      <c r="F4" s="35"/>
    </row>
    <row r="5" spans="1:9" x14ac:dyDescent="0.25">
      <c r="A5" s="40" t="s">
        <v>0</v>
      </c>
      <c r="B5" s="42" t="s">
        <v>1</v>
      </c>
      <c r="C5" s="44" t="s">
        <v>5</v>
      </c>
      <c r="D5" s="42" t="s">
        <v>6</v>
      </c>
      <c r="E5" s="45" t="s">
        <v>18</v>
      </c>
      <c r="F5" s="36" t="s">
        <v>11</v>
      </c>
    </row>
    <row r="6" spans="1:9" ht="13.8" thickBot="1" x14ac:dyDescent="0.3">
      <c r="A6" s="41"/>
      <c r="B6" s="43"/>
      <c r="C6" s="43"/>
      <c r="D6" s="43"/>
      <c r="E6" s="46"/>
      <c r="F6" s="37"/>
    </row>
    <row r="7" spans="1:9" x14ac:dyDescent="0.25">
      <c r="A7" s="12" t="str">
        <f>CHOOSE(WEEKDAY(B7),"SUN","MON","TUES","WED","THU","FRI","SAT")</f>
        <v>FRI</v>
      </c>
      <c r="B7" s="20">
        <v>44197</v>
      </c>
      <c r="C7" s="22">
        <v>6846</v>
      </c>
      <c r="D7" s="22">
        <v>6240</v>
      </c>
      <c r="E7" s="21">
        <f>SUM(C7:D7)</f>
        <v>13086</v>
      </c>
      <c r="F7" s="10">
        <f>C7-D7</f>
        <v>606</v>
      </c>
      <c r="G7" s="16"/>
    </row>
    <row r="8" spans="1:9" x14ac:dyDescent="0.25">
      <c r="A8" s="12" t="str">
        <f t="shared" ref="A8:A37" si="0">CHOOSE(WEEKDAY(B8),"SUN","MON","TUES","WED","THU","FRI","SAT")</f>
        <v>SAT</v>
      </c>
      <c r="B8" s="20">
        <f>B7+1</f>
        <v>44198</v>
      </c>
      <c r="C8" s="22">
        <v>10257</v>
      </c>
      <c r="D8" s="22">
        <v>10175</v>
      </c>
      <c r="E8" s="21">
        <f>SUM(C8:D8)</f>
        <v>20432</v>
      </c>
      <c r="F8" s="11">
        <f t="shared" ref="F8:F37" si="1">C8-D8</f>
        <v>82</v>
      </c>
      <c r="G8" s="16"/>
      <c r="I8" s="8"/>
    </row>
    <row r="9" spans="1:9" x14ac:dyDescent="0.25">
      <c r="A9" s="12" t="str">
        <f t="shared" si="0"/>
        <v>SUN</v>
      </c>
      <c r="B9" s="20">
        <f>B8+1</f>
        <v>44199</v>
      </c>
      <c r="C9" s="22">
        <v>5360</v>
      </c>
      <c r="D9" s="22">
        <v>5208</v>
      </c>
      <c r="E9" s="21">
        <f t="shared" ref="E9:E37" si="2">SUM(C9:D9)</f>
        <v>10568</v>
      </c>
      <c r="F9" s="11">
        <f t="shared" si="1"/>
        <v>152</v>
      </c>
      <c r="G9" s="16"/>
    </row>
    <row r="10" spans="1:9" x14ac:dyDescent="0.25">
      <c r="A10" s="12" t="str">
        <f t="shared" si="0"/>
        <v>MON</v>
      </c>
      <c r="B10" s="20">
        <f t="shared" ref="B10:B33" si="3">B9+1</f>
        <v>44200</v>
      </c>
      <c r="C10" s="22">
        <v>10221</v>
      </c>
      <c r="D10" s="22">
        <v>10218</v>
      </c>
      <c r="E10" s="21">
        <f t="shared" si="2"/>
        <v>20439</v>
      </c>
      <c r="F10" s="11">
        <f t="shared" si="1"/>
        <v>3</v>
      </c>
      <c r="G10" s="16"/>
    </row>
    <row r="11" spans="1:9" x14ac:dyDescent="0.25">
      <c r="A11" s="12" t="str">
        <f t="shared" si="0"/>
        <v>TUES</v>
      </c>
      <c r="B11" s="20">
        <f t="shared" si="3"/>
        <v>44201</v>
      </c>
      <c r="C11" s="22">
        <v>10445</v>
      </c>
      <c r="D11" s="22">
        <v>10300</v>
      </c>
      <c r="E11" s="21">
        <f t="shared" si="2"/>
        <v>20745</v>
      </c>
      <c r="F11" s="11">
        <f t="shared" si="1"/>
        <v>145</v>
      </c>
      <c r="G11" s="16"/>
    </row>
    <row r="12" spans="1:9" x14ac:dyDescent="0.25">
      <c r="A12" s="12" t="str">
        <f t="shared" si="0"/>
        <v>WED</v>
      </c>
      <c r="B12" s="20">
        <f t="shared" si="3"/>
        <v>44202</v>
      </c>
      <c r="C12" s="22">
        <v>10340</v>
      </c>
      <c r="D12" s="22">
        <v>10117</v>
      </c>
      <c r="E12" s="21">
        <f t="shared" si="2"/>
        <v>20457</v>
      </c>
      <c r="F12" s="11">
        <f t="shared" si="1"/>
        <v>223</v>
      </c>
      <c r="G12" s="16"/>
    </row>
    <row r="13" spans="1:9" x14ac:dyDescent="0.25">
      <c r="A13" s="12" t="str">
        <f t="shared" si="0"/>
        <v>THU</v>
      </c>
      <c r="B13" s="20">
        <f t="shared" si="3"/>
        <v>44203</v>
      </c>
      <c r="C13" s="22">
        <v>10091</v>
      </c>
      <c r="D13" s="22">
        <v>9890</v>
      </c>
      <c r="E13" s="21">
        <f t="shared" si="2"/>
        <v>19981</v>
      </c>
      <c r="F13" s="11">
        <f t="shared" si="1"/>
        <v>201</v>
      </c>
      <c r="G13" s="16"/>
    </row>
    <row r="14" spans="1:9" x14ac:dyDescent="0.25">
      <c r="A14" s="12" t="str">
        <f t="shared" si="0"/>
        <v>FRI</v>
      </c>
      <c r="B14" s="20">
        <f t="shared" si="3"/>
        <v>44204</v>
      </c>
      <c r="C14" s="22">
        <v>10105</v>
      </c>
      <c r="D14" s="22">
        <v>10117</v>
      </c>
      <c r="E14" s="21">
        <f t="shared" si="2"/>
        <v>20222</v>
      </c>
      <c r="F14" s="11">
        <f t="shared" si="1"/>
        <v>-12</v>
      </c>
      <c r="G14" s="16"/>
    </row>
    <row r="15" spans="1:9" x14ac:dyDescent="0.25">
      <c r="A15" s="12" t="str">
        <f t="shared" si="0"/>
        <v>SAT</v>
      </c>
      <c r="B15" s="20">
        <f t="shared" si="3"/>
        <v>44205</v>
      </c>
      <c r="C15" s="22">
        <v>7292</v>
      </c>
      <c r="D15" s="22">
        <v>7147</v>
      </c>
      <c r="E15" s="21">
        <f t="shared" si="2"/>
        <v>14439</v>
      </c>
      <c r="F15" s="11">
        <f t="shared" si="1"/>
        <v>145</v>
      </c>
      <c r="G15" s="16"/>
    </row>
    <row r="16" spans="1:9" x14ac:dyDescent="0.25">
      <c r="A16" s="12" t="str">
        <f t="shared" si="0"/>
        <v>SUN</v>
      </c>
      <c r="B16" s="20">
        <f t="shared" si="3"/>
        <v>44206</v>
      </c>
      <c r="C16" s="22">
        <v>6183</v>
      </c>
      <c r="D16" s="22">
        <v>6020</v>
      </c>
      <c r="E16" s="21">
        <f t="shared" si="2"/>
        <v>12203</v>
      </c>
      <c r="F16" s="11">
        <f t="shared" si="1"/>
        <v>163</v>
      </c>
      <c r="G16" s="16"/>
    </row>
    <row r="17" spans="1:9" x14ac:dyDescent="0.25">
      <c r="A17" s="12" t="str">
        <f t="shared" si="0"/>
        <v>MON</v>
      </c>
      <c r="B17" s="20">
        <f t="shared" si="3"/>
        <v>44207</v>
      </c>
      <c r="C17" s="22">
        <v>9761</v>
      </c>
      <c r="D17" s="22">
        <v>9842</v>
      </c>
      <c r="E17" s="21">
        <f t="shared" si="2"/>
        <v>19603</v>
      </c>
      <c r="F17" s="11">
        <f t="shared" si="1"/>
        <v>-81</v>
      </c>
      <c r="G17" s="16"/>
    </row>
    <row r="18" spans="1:9" x14ac:dyDescent="0.25">
      <c r="A18" s="12" t="str">
        <f t="shared" si="0"/>
        <v>TUES</v>
      </c>
      <c r="B18" s="20">
        <f t="shared" si="3"/>
        <v>44208</v>
      </c>
      <c r="C18" s="22">
        <v>10297</v>
      </c>
      <c r="D18" s="22">
        <v>10245</v>
      </c>
      <c r="E18" s="21">
        <f t="shared" si="2"/>
        <v>20542</v>
      </c>
      <c r="F18" s="11">
        <f t="shared" si="1"/>
        <v>52</v>
      </c>
      <c r="G18" s="16"/>
      <c r="I18" s="8"/>
    </row>
    <row r="19" spans="1:9" x14ac:dyDescent="0.25">
      <c r="A19" s="12" t="str">
        <f t="shared" si="0"/>
        <v>WED</v>
      </c>
      <c r="B19" s="20">
        <f t="shared" si="3"/>
        <v>44209</v>
      </c>
      <c r="C19" s="22">
        <v>10250</v>
      </c>
      <c r="D19" s="22">
        <v>10079</v>
      </c>
      <c r="E19" s="21">
        <f t="shared" si="2"/>
        <v>20329</v>
      </c>
      <c r="F19" s="11">
        <f t="shared" si="1"/>
        <v>171</v>
      </c>
      <c r="G19" s="16"/>
      <c r="I19" s="8"/>
    </row>
    <row r="20" spans="1:9" x14ac:dyDescent="0.25">
      <c r="A20" s="12" t="str">
        <f t="shared" si="0"/>
        <v>THU</v>
      </c>
      <c r="B20" s="20">
        <f t="shared" si="3"/>
        <v>44210</v>
      </c>
      <c r="C20" s="22">
        <v>10165</v>
      </c>
      <c r="D20" s="22">
        <v>10110</v>
      </c>
      <c r="E20" s="21">
        <f t="shared" si="2"/>
        <v>20275</v>
      </c>
      <c r="F20" s="11">
        <f t="shared" si="1"/>
        <v>55</v>
      </c>
      <c r="G20" s="16"/>
    </row>
    <row r="21" spans="1:9" x14ac:dyDescent="0.25">
      <c r="A21" s="12" t="str">
        <f t="shared" si="0"/>
        <v>FRI</v>
      </c>
      <c r="B21" s="20">
        <f t="shared" si="3"/>
        <v>44211</v>
      </c>
      <c r="C21" s="22">
        <v>10224</v>
      </c>
      <c r="D21" s="22">
        <v>10146</v>
      </c>
      <c r="E21" s="21">
        <f t="shared" si="2"/>
        <v>20370</v>
      </c>
      <c r="F21" s="11">
        <f t="shared" si="1"/>
        <v>78</v>
      </c>
      <c r="G21" s="16"/>
    </row>
    <row r="22" spans="1:9" x14ac:dyDescent="0.25">
      <c r="A22" s="12" t="str">
        <f t="shared" si="0"/>
        <v>SAT</v>
      </c>
      <c r="B22" s="20">
        <f t="shared" si="3"/>
        <v>44212</v>
      </c>
      <c r="C22" s="22">
        <v>7289</v>
      </c>
      <c r="D22" s="22">
        <v>7178</v>
      </c>
      <c r="E22" s="21">
        <f t="shared" si="2"/>
        <v>14467</v>
      </c>
      <c r="F22" s="11">
        <f t="shared" si="1"/>
        <v>111</v>
      </c>
      <c r="G22" s="16"/>
    </row>
    <row r="23" spans="1:9" x14ac:dyDescent="0.25">
      <c r="A23" s="12" t="str">
        <f t="shared" si="0"/>
        <v>SUN</v>
      </c>
      <c r="B23" s="20">
        <f t="shared" si="3"/>
        <v>44213</v>
      </c>
      <c r="C23" s="22">
        <v>6864</v>
      </c>
      <c r="D23" s="22">
        <v>6609</v>
      </c>
      <c r="E23" s="21">
        <f t="shared" si="2"/>
        <v>13473</v>
      </c>
      <c r="F23" s="11">
        <f t="shared" si="1"/>
        <v>255</v>
      </c>
      <c r="G23" s="16"/>
    </row>
    <row r="24" spans="1:9" x14ac:dyDescent="0.25">
      <c r="A24" s="12" t="str">
        <f t="shared" si="0"/>
        <v>MON</v>
      </c>
      <c r="B24" s="20">
        <f t="shared" si="3"/>
        <v>44214</v>
      </c>
      <c r="C24" s="22">
        <v>8464</v>
      </c>
      <c r="D24" s="22">
        <v>8250</v>
      </c>
      <c r="E24" s="21">
        <f t="shared" si="2"/>
        <v>16714</v>
      </c>
      <c r="F24" s="11">
        <f t="shared" si="1"/>
        <v>214</v>
      </c>
      <c r="G24" s="16"/>
    </row>
    <row r="25" spans="1:9" x14ac:dyDescent="0.25">
      <c r="A25" s="12" t="str">
        <f t="shared" si="0"/>
        <v>TUES</v>
      </c>
      <c r="B25" s="20">
        <f t="shared" si="3"/>
        <v>44215</v>
      </c>
      <c r="C25" s="22">
        <v>10348</v>
      </c>
      <c r="D25" s="22">
        <v>10254</v>
      </c>
      <c r="E25" s="21">
        <f t="shared" si="2"/>
        <v>20602</v>
      </c>
      <c r="F25" s="11">
        <f t="shared" si="1"/>
        <v>94</v>
      </c>
      <c r="G25" s="16"/>
    </row>
    <row r="26" spans="1:9" x14ac:dyDescent="0.25">
      <c r="A26" s="12" t="str">
        <f t="shared" si="0"/>
        <v>WED</v>
      </c>
      <c r="B26" s="20">
        <f t="shared" si="3"/>
        <v>44216</v>
      </c>
      <c r="C26" s="22">
        <v>9484</v>
      </c>
      <c r="D26" s="22">
        <v>9452</v>
      </c>
      <c r="E26" s="21">
        <f t="shared" si="2"/>
        <v>18936</v>
      </c>
      <c r="F26" s="11">
        <f t="shared" si="1"/>
        <v>32</v>
      </c>
      <c r="G26" s="16"/>
    </row>
    <row r="27" spans="1:9" x14ac:dyDescent="0.25">
      <c r="A27" s="12" t="str">
        <f t="shared" si="0"/>
        <v>THU</v>
      </c>
      <c r="B27" s="20">
        <f t="shared" si="3"/>
        <v>44217</v>
      </c>
      <c r="C27" s="22">
        <v>10049</v>
      </c>
      <c r="D27" s="22">
        <v>9992</v>
      </c>
      <c r="E27" s="21">
        <f t="shared" si="2"/>
        <v>20041</v>
      </c>
      <c r="F27" s="11">
        <f t="shared" si="1"/>
        <v>57</v>
      </c>
      <c r="G27" s="16"/>
    </row>
    <row r="28" spans="1:9" x14ac:dyDescent="0.25">
      <c r="A28" s="12" t="str">
        <f t="shared" si="0"/>
        <v>FRI</v>
      </c>
      <c r="B28" s="20">
        <f t="shared" si="3"/>
        <v>44218</v>
      </c>
      <c r="C28" s="21">
        <v>10453</v>
      </c>
      <c r="D28" s="22">
        <v>10506</v>
      </c>
      <c r="E28" s="21">
        <f t="shared" si="2"/>
        <v>20959</v>
      </c>
      <c r="F28" s="11">
        <f t="shared" si="1"/>
        <v>-53</v>
      </c>
      <c r="G28" s="16"/>
    </row>
    <row r="29" spans="1:9" x14ac:dyDescent="0.25">
      <c r="A29" s="12" t="str">
        <f t="shared" si="0"/>
        <v>SAT</v>
      </c>
      <c r="B29" s="20">
        <f t="shared" si="3"/>
        <v>44219</v>
      </c>
      <c r="C29" s="21">
        <v>7120</v>
      </c>
      <c r="D29" s="22">
        <v>6978</v>
      </c>
      <c r="E29" s="21">
        <f t="shared" si="2"/>
        <v>14098</v>
      </c>
      <c r="F29" s="11">
        <f t="shared" si="1"/>
        <v>142</v>
      </c>
      <c r="G29" s="16"/>
    </row>
    <row r="30" spans="1:9" x14ac:dyDescent="0.25">
      <c r="A30" s="12" t="str">
        <f t="shared" si="0"/>
        <v>SUN</v>
      </c>
      <c r="B30" s="20">
        <f t="shared" si="3"/>
        <v>44220</v>
      </c>
      <c r="C30" s="21">
        <v>5665</v>
      </c>
      <c r="D30" s="22">
        <v>5511</v>
      </c>
      <c r="E30" s="21">
        <f t="shared" si="2"/>
        <v>11176</v>
      </c>
      <c r="F30" s="11">
        <f t="shared" si="1"/>
        <v>154</v>
      </c>
      <c r="G30" s="16"/>
    </row>
    <row r="31" spans="1:9" x14ac:dyDescent="0.25">
      <c r="A31" s="12" t="str">
        <f t="shared" si="0"/>
        <v>MON</v>
      </c>
      <c r="B31" s="20">
        <f t="shared" si="3"/>
        <v>44221</v>
      </c>
      <c r="C31" s="22">
        <v>10057</v>
      </c>
      <c r="D31" s="22">
        <v>9951</v>
      </c>
      <c r="E31" s="21">
        <f t="shared" si="2"/>
        <v>20008</v>
      </c>
      <c r="F31" s="11">
        <f t="shared" si="1"/>
        <v>106</v>
      </c>
      <c r="G31" s="16"/>
    </row>
    <row r="32" spans="1:9" x14ac:dyDescent="0.25">
      <c r="A32" s="12" t="str">
        <f t="shared" si="0"/>
        <v>TUES</v>
      </c>
      <c r="B32" s="20">
        <f t="shared" si="3"/>
        <v>44222</v>
      </c>
      <c r="C32" s="22">
        <v>9124</v>
      </c>
      <c r="D32" s="22">
        <v>8950</v>
      </c>
      <c r="E32" s="21">
        <f t="shared" si="2"/>
        <v>18074</v>
      </c>
      <c r="F32" s="11">
        <f t="shared" si="1"/>
        <v>174</v>
      </c>
      <c r="G32" s="16"/>
    </row>
    <row r="33" spans="1:7" x14ac:dyDescent="0.25">
      <c r="A33" s="12" t="str">
        <f t="shared" si="0"/>
        <v>WED</v>
      </c>
      <c r="B33" s="20">
        <f t="shared" si="3"/>
        <v>44223</v>
      </c>
      <c r="C33" s="22">
        <v>10070</v>
      </c>
      <c r="D33" s="22">
        <v>9954</v>
      </c>
      <c r="E33" s="21">
        <f t="shared" si="2"/>
        <v>20024</v>
      </c>
      <c r="F33" s="11">
        <f t="shared" si="1"/>
        <v>116</v>
      </c>
    </row>
    <row r="34" spans="1:7" x14ac:dyDescent="0.25">
      <c r="A34" s="12" t="str">
        <f t="shared" si="0"/>
        <v>THU</v>
      </c>
      <c r="B34" s="20">
        <f>B33+1</f>
        <v>44224</v>
      </c>
      <c r="C34" s="22">
        <v>9835</v>
      </c>
      <c r="D34" s="22">
        <v>9718</v>
      </c>
      <c r="E34" s="21">
        <f t="shared" si="2"/>
        <v>19553</v>
      </c>
      <c r="F34" s="11">
        <f t="shared" si="1"/>
        <v>117</v>
      </c>
    </row>
    <row r="35" spans="1:7" x14ac:dyDescent="0.25">
      <c r="A35" s="12" t="str">
        <f t="shared" si="0"/>
        <v>FRI</v>
      </c>
      <c r="B35" s="20">
        <f>B34+1</f>
        <v>44225</v>
      </c>
      <c r="C35" s="22">
        <v>8938</v>
      </c>
      <c r="D35" s="22">
        <v>8940</v>
      </c>
      <c r="E35" s="21">
        <f t="shared" si="2"/>
        <v>17878</v>
      </c>
      <c r="F35" s="11">
        <f t="shared" si="1"/>
        <v>-2</v>
      </c>
    </row>
    <row r="36" spans="1:7" x14ac:dyDescent="0.25">
      <c r="A36" s="12" t="str">
        <f t="shared" si="0"/>
        <v>SAT</v>
      </c>
      <c r="B36" s="20">
        <f>B35+1</f>
        <v>44226</v>
      </c>
      <c r="C36" s="22">
        <v>6579</v>
      </c>
      <c r="D36" s="22">
        <v>6451</v>
      </c>
      <c r="E36" s="21">
        <f t="shared" si="2"/>
        <v>13030</v>
      </c>
      <c r="F36" s="11">
        <f t="shared" si="1"/>
        <v>128</v>
      </c>
    </row>
    <row r="37" spans="1:7" ht="13.8" thickBot="1" x14ac:dyDescent="0.3">
      <c r="A37" s="12" t="str">
        <f t="shared" si="0"/>
        <v>SUN</v>
      </c>
      <c r="B37" s="20">
        <f>B36+1</f>
        <v>44227</v>
      </c>
      <c r="C37" s="22">
        <v>5205</v>
      </c>
      <c r="D37" s="22">
        <v>5090</v>
      </c>
      <c r="E37" s="21">
        <f t="shared" si="2"/>
        <v>10295</v>
      </c>
      <c r="F37" s="11">
        <f t="shared" si="1"/>
        <v>115</v>
      </c>
    </row>
    <row r="38" spans="1:7" ht="13.8" thickBot="1" x14ac:dyDescent="0.3">
      <c r="A38" s="25"/>
      <c r="B38" s="26" t="s">
        <v>2</v>
      </c>
      <c r="C38" s="27">
        <f>SUM(C7:C37)</f>
        <v>273381</v>
      </c>
      <c r="D38" s="27">
        <f>SUM(D7:D37)</f>
        <v>269638</v>
      </c>
      <c r="E38" s="28">
        <f>SUM(E7:E37)</f>
        <v>543019</v>
      </c>
      <c r="F38" s="17">
        <f>AVERAGE(F7:F37)</f>
        <v>120.74193548387096</v>
      </c>
    </row>
    <row r="39" spans="1:7" ht="13.8" thickBot="1" x14ac:dyDescent="0.3">
      <c r="B39" s="3"/>
      <c r="C39" s="4"/>
      <c r="D39" s="4"/>
      <c r="E39" s="5"/>
      <c r="F39" s="5"/>
    </row>
    <row r="40" spans="1:7" ht="13.8" thickBot="1" x14ac:dyDescent="0.3">
      <c r="A40" s="38" t="s">
        <v>17</v>
      </c>
      <c r="B40" s="39"/>
      <c r="C40" s="39"/>
      <c r="D40" s="39"/>
      <c r="E40" s="18">
        <f>E38</f>
        <v>543019</v>
      </c>
      <c r="F40" s="4"/>
    </row>
    <row r="41" spans="1:7" x14ac:dyDescent="0.25">
      <c r="B41" s="6"/>
      <c r="C41" s="6"/>
      <c r="D41" s="7"/>
      <c r="E41" s="7"/>
      <c r="F41" s="7"/>
      <c r="G41" s="7"/>
    </row>
    <row r="43" spans="1:7" ht="13.5" customHeight="1" x14ac:dyDescent="0.25"/>
  </sheetData>
  <mergeCells count="8">
    <mergeCell ref="A4:F4"/>
    <mergeCell ref="F5:F6"/>
    <mergeCell ref="A40:D40"/>
    <mergeCell ref="A5:A6"/>
    <mergeCell ref="B5:B6"/>
    <mergeCell ref="C5:C6"/>
    <mergeCell ref="D5:D6"/>
    <mergeCell ref="E5:E6"/>
  </mergeCells>
  <phoneticPr fontId="2" type="noConversion"/>
  <printOptions horizontalCentered="1"/>
  <pageMargins left="0.25" right="0.25" top="0.75" bottom="0.75" header="0.3" footer="0.3"/>
  <pageSetup orientation="portrait" useFirstPageNumber="1" horizontalDpi="4294967293" r:id="rId1"/>
  <headerFooter alignWithMargins="0">
    <oddFooter>Page &amp;P of &amp;N</oddFooter>
  </headerFooter>
  <ignoredErrors>
    <ignoredError sqref="E7" formulaRange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G52"/>
  <sheetViews>
    <sheetView workbookViewId="0">
      <selection activeCell="A7" sqref="A7"/>
    </sheetView>
  </sheetViews>
  <sheetFormatPr defaultColWidth="9.109375" defaultRowHeight="13.2" x14ac:dyDescent="0.25"/>
  <cols>
    <col min="1" max="1" width="8.33203125" style="1" customWidth="1"/>
    <col min="2" max="2" width="11.44140625" style="1" customWidth="1"/>
    <col min="3" max="5" width="13" style="1" customWidth="1"/>
    <col min="6" max="6" width="10.44140625" style="1" hidden="1" customWidth="1"/>
    <col min="7" max="7" width="10.33203125" style="1" bestFit="1" customWidth="1"/>
    <col min="8" max="11" width="9.109375" style="1"/>
    <col min="12" max="12" width="9.6640625" style="1" bestFit="1" customWidth="1"/>
    <col min="13" max="16384" width="9.109375" style="1"/>
  </cols>
  <sheetData>
    <row r="2" spans="1:6" x14ac:dyDescent="0.25">
      <c r="A2" s="48" t="s">
        <v>19</v>
      </c>
      <c r="B2" s="48"/>
      <c r="C2" s="48"/>
      <c r="D2" s="48"/>
      <c r="E2" s="48"/>
      <c r="F2" s="48"/>
    </row>
    <row r="3" spans="1:6" ht="11.25" customHeight="1" x14ac:dyDescent="0.25">
      <c r="A3" s="42" t="s">
        <v>0</v>
      </c>
      <c r="B3" s="42" t="s">
        <v>1</v>
      </c>
      <c r="C3" s="44" t="s">
        <v>5</v>
      </c>
      <c r="D3" s="42" t="s">
        <v>6</v>
      </c>
      <c r="E3" s="45" t="s">
        <v>18</v>
      </c>
      <c r="F3" s="42" t="s">
        <v>11</v>
      </c>
    </row>
    <row r="4" spans="1:6" x14ac:dyDescent="0.25">
      <c r="A4" s="42"/>
      <c r="B4" s="42"/>
      <c r="C4" s="44"/>
      <c r="D4" s="42"/>
      <c r="E4" s="46"/>
      <c r="F4" s="42"/>
    </row>
    <row r="5" spans="1:6" x14ac:dyDescent="0.25">
      <c r="A5" s="19" t="s">
        <v>7</v>
      </c>
      <c r="B5" s="20">
        <v>44197</v>
      </c>
      <c r="C5" s="22">
        <v>6846</v>
      </c>
      <c r="D5" s="22">
        <v>6240</v>
      </c>
      <c r="E5" s="21">
        <f>SUM(C5:D5)</f>
        <v>13086</v>
      </c>
      <c r="F5" s="21">
        <f>C5-D5</f>
        <v>606</v>
      </c>
    </row>
    <row r="6" spans="1:6" x14ac:dyDescent="0.25">
      <c r="A6" s="19" t="s">
        <v>10</v>
      </c>
      <c r="B6" s="20">
        <v>44200</v>
      </c>
      <c r="C6" s="22">
        <v>10221</v>
      </c>
      <c r="D6" s="22">
        <v>10218</v>
      </c>
      <c r="E6" s="21">
        <f t="shared" ref="E6:E25" si="0">SUM(C6:D6)</f>
        <v>20439</v>
      </c>
      <c r="F6" s="21">
        <f t="shared" ref="F6:F25" si="1">C6-D6</f>
        <v>3</v>
      </c>
    </row>
    <row r="7" spans="1:6" x14ac:dyDescent="0.25">
      <c r="A7" s="19" t="s">
        <v>15</v>
      </c>
      <c r="B7" s="20">
        <v>44201</v>
      </c>
      <c r="C7" s="22">
        <v>10445</v>
      </c>
      <c r="D7" s="22">
        <v>10300</v>
      </c>
      <c r="E7" s="21">
        <f t="shared" si="0"/>
        <v>20745</v>
      </c>
      <c r="F7" s="21">
        <f t="shared" si="1"/>
        <v>145</v>
      </c>
    </row>
    <row r="8" spans="1:6" x14ac:dyDescent="0.25">
      <c r="A8" s="19" t="s">
        <v>3</v>
      </c>
      <c r="B8" s="20">
        <v>44202</v>
      </c>
      <c r="C8" s="22">
        <v>10340</v>
      </c>
      <c r="D8" s="22">
        <v>10117</v>
      </c>
      <c r="E8" s="21">
        <f t="shared" si="0"/>
        <v>20457</v>
      </c>
      <c r="F8" s="21">
        <f t="shared" si="1"/>
        <v>223</v>
      </c>
    </row>
    <row r="9" spans="1:6" x14ac:dyDescent="0.25">
      <c r="A9" s="19" t="s">
        <v>4</v>
      </c>
      <c r="B9" s="20">
        <v>44203</v>
      </c>
      <c r="C9" s="22">
        <v>10091</v>
      </c>
      <c r="D9" s="22">
        <v>9890</v>
      </c>
      <c r="E9" s="21">
        <f t="shared" si="0"/>
        <v>19981</v>
      </c>
      <c r="F9" s="21">
        <f t="shared" si="1"/>
        <v>201</v>
      </c>
    </row>
    <row r="10" spans="1:6" x14ac:dyDescent="0.25">
      <c r="A10" s="19" t="s">
        <v>7</v>
      </c>
      <c r="B10" s="20">
        <v>44204</v>
      </c>
      <c r="C10" s="22">
        <v>10105</v>
      </c>
      <c r="D10" s="22">
        <v>10117</v>
      </c>
      <c r="E10" s="21">
        <f t="shared" si="0"/>
        <v>20222</v>
      </c>
      <c r="F10" s="21">
        <f t="shared" si="1"/>
        <v>-12</v>
      </c>
    </row>
    <row r="11" spans="1:6" x14ac:dyDescent="0.25">
      <c r="A11" s="19" t="s">
        <v>10</v>
      </c>
      <c r="B11" s="20">
        <v>44207</v>
      </c>
      <c r="C11" s="22">
        <v>9761</v>
      </c>
      <c r="D11" s="22">
        <v>9842</v>
      </c>
      <c r="E11" s="21">
        <f t="shared" si="0"/>
        <v>19603</v>
      </c>
      <c r="F11" s="21">
        <f t="shared" si="1"/>
        <v>-81</v>
      </c>
    </row>
    <row r="12" spans="1:6" x14ac:dyDescent="0.25">
      <c r="A12" s="19" t="s">
        <v>15</v>
      </c>
      <c r="B12" s="20">
        <v>44208</v>
      </c>
      <c r="C12" s="22">
        <v>10297</v>
      </c>
      <c r="D12" s="22">
        <v>10245</v>
      </c>
      <c r="E12" s="21">
        <f t="shared" si="0"/>
        <v>20542</v>
      </c>
      <c r="F12" s="21">
        <f t="shared" si="1"/>
        <v>52</v>
      </c>
    </row>
    <row r="13" spans="1:6" x14ac:dyDescent="0.25">
      <c r="A13" s="19" t="s">
        <v>3</v>
      </c>
      <c r="B13" s="20">
        <v>44209</v>
      </c>
      <c r="C13" s="22">
        <v>10250</v>
      </c>
      <c r="D13" s="22">
        <v>10079</v>
      </c>
      <c r="E13" s="21">
        <f t="shared" si="0"/>
        <v>20329</v>
      </c>
      <c r="F13" s="21">
        <f t="shared" si="1"/>
        <v>171</v>
      </c>
    </row>
    <row r="14" spans="1:6" x14ac:dyDescent="0.25">
      <c r="A14" s="19" t="s">
        <v>4</v>
      </c>
      <c r="B14" s="20">
        <v>44210</v>
      </c>
      <c r="C14" s="22">
        <v>10165</v>
      </c>
      <c r="D14" s="22">
        <v>10110</v>
      </c>
      <c r="E14" s="21">
        <f t="shared" si="0"/>
        <v>20275</v>
      </c>
      <c r="F14" s="21">
        <f t="shared" si="1"/>
        <v>55</v>
      </c>
    </row>
    <row r="15" spans="1:6" x14ac:dyDescent="0.25">
      <c r="A15" s="19" t="s">
        <v>7</v>
      </c>
      <c r="B15" s="20">
        <v>44211</v>
      </c>
      <c r="C15" s="22">
        <v>10224</v>
      </c>
      <c r="D15" s="22">
        <v>10146</v>
      </c>
      <c r="E15" s="21">
        <f t="shared" si="0"/>
        <v>20370</v>
      </c>
      <c r="F15" s="21">
        <f t="shared" si="1"/>
        <v>78</v>
      </c>
    </row>
    <row r="16" spans="1:6" x14ac:dyDescent="0.25">
      <c r="A16" s="19" t="s">
        <v>10</v>
      </c>
      <c r="B16" s="20">
        <v>44214</v>
      </c>
      <c r="C16" s="22">
        <v>8464</v>
      </c>
      <c r="D16" s="22">
        <v>8250</v>
      </c>
      <c r="E16" s="21">
        <f t="shared" si="0"/>
        <v>16714</v>
      </c>
      <c r="F16" s="21">
        <f t="shared" si="1"/>
        <v>214</v>
      </c>
    </row>
    <row r="17" spans="1:6" x14ac:dyDescent="0.25">
      <c r="A17" s="19" t="s">
        <v>15</v>
      </c>
      <c r="B17" s="20">
        <v>44215</v>
      </c>
      <c r="C17" s="22">
        <v>10348</v>
      </c>
      <c r="D17" s="22">
        <v>10254</v>
      </c>
      <c r="E17" s="21">
        <f t="shared" si="0"/>
        <v>20602</v>
      </c>
      <c r="F17" s="21">
        <f t="shared" si="1"/>
        <v>94</v>
      </c>
    </row>
    <row r="18" spans="1:6" x14ac:dyDescent="0.25">
      <c r="A18" s="19" t="s">
        <v>3</v>
      </c>
      <c r="B18" s="20">
        <v>44216</v>
      </c>
      <c r="C18" s="22">
        <v>9484</v>
      </c>
      <c r="D18" s="22">
        <v>9452</v>
      </c>
      <c r="E18" s="21">
        <f t="shared" si="0"/>
        <v>18936</v>
      </c>
      <c r="F18" s="21">
        <f t="shared" si="1"/>
        <v>32</v>
      </c>
    </row>
    <row r="19" spans="1:6" x14ac:dyDescent="0.25">
      <c r="A19" s="19" t="s">
        <v>4</v>
      </c>
      <c r="B19" s="20">
        <v>44217</v>
      </c>
      <c r="C19" s="22">
        <v>10049</v>
      </c>
      <c r="D19" s="22">
        <v>9992</v>
      </c>
      <c r="E19" s="21">
        <f t="shared" si="0"/>
        <v>20041</v>
      </c>
      <c r="F19" s="21">
        <f t="shared" si="1"/>
        <v>57</v>
      </c>
    </row>
    <row r="20" spans="1:6" x14ac:dyDescent="0.25">
      <c r="A20" s="19" t="s">
        <v>7</v>
      </c>
      <c r="B20" s="20">
        <v>44218</v>
      </c>
      <c r="C20" s="21">
        <v>10453</v>
      </c>
      <c r="D20" s="22">
        <v>10506</v>
      </c>
      <c r="E20" s="21">
        <f t="shared" si="0"/>
        <v>20959</v>
      </c>
      <c r="F20" s="21">
        <f t="shared" si="1"/>
        <v>-53</v>
      </c>
    </row>
    <row r="21" spans="1:6" x14ac:dyDescent="0.25">
      <c r="A21" s="19" t="s">
        <v>10</v>
      </c>
      <c r="B21" s="20">
        <v>44221</v>
      </c>
      <c r="C21" s="22">
        <v>10057</v>
      </c>
      <c r="D21" s="22">
        <v>9951</v>
      </c>
      <c r="E21" s="21">
        <f t="shared" si="0"/>
        <v>20008</v>
      </c>
      <c r="F21" s="21">
        <f t="shared" si="1"/>
        <v>106</v>
      </c>
    </row>
    <row r="22" spans="1:6" x14ac:dyDescent="0.25">
      <c r="A22" s="19" t="s">
        <v>15</v>
      </c>
      <c r="B22" s="20">
        <v>44222</v>
      </c>
      <c r="C22" s="22">
        <v>9124</v>
      </c>
      <c r="D22" s="22">
        <v>8950</v>
      </c>
      <c r="E22" s="21">
        <f t="shared" si="0"/>
        <v>18074</v>
      </c>
      <c r="F22" s="21">
        <f t="shared" si="1"/>
        <v>174</v>
      </c>
    </row>
    <row r="23" spans="1:6" x14ac:dyDescent="0.25">
      <c r="A23" s="19" t="s">
        <v>3</v>
      </c>
      <c r="B23" s="20">
        <v>44223</v>
      </c>
      <c r="C23" s="22">
        <v>10070</v>
      </c>
      <c r="D23" s="22">
        <v>9954</v>
      </c>
      <c r="E23" s="21">
        <f t="shared" si="0"/>
        <v>20024</v>
      </c>
      <c r="F23" s="21">
        <f t="shared" si="1"/>
        <v>116</v>
      </c>
    </row>
    <row r="24" spans="1:6" x14ac:dyDescent="0.25">
      <c r="A24" s="19" t="s">
        <v>4</v>
      </c>
      <c r="B24" s="20">
        <v>44224</v>
      </c>
      <c r="C24" s="22">
        <v>9835</v>
      </c>
      <c r="D24" s="22">
        <v>9718</v>
      </c>
      <c r="E24" s="21">
        <f t="shared" si="0"/>
        <v>19553</v>
      </c>
      <c r="F24" s="21">
        <f t="shared" si="1"/>
        <v>117</v>
      </c>
    </row>
    <row r="25" spans="1:6" x14ac:dyDescent="0.25">
      <c r="A25" s="19" t="s">
        <v>7</v>
      </c>
      <c r="B25" s="20">
        <v>44225</v>
      </c>
      <c r="C25" s="22">
        <v>8938</v>
      </c>
      <c r="D25" s="22">
        <v>8940</v>
      </c>
      <c r="E25" s="21">
        <f t="shared" si="0"/>
        <v>17878</v>
      </c>
      <c r="F25" s="21">
        <f t="shared" si="1"/>
        <v>-2</v>
      </c>
    </row>
    <row r="26" spans="1:6" x14ac:dyDescent="0.25">
      <c r="A26" s="29"/>
      <c r="B26" s="23" t="s">
        <v>2</v>
      </c>
      <c r="C26" s="24">
        <f>SUM(C5:C25)</f>
        <v>205567</v>
      </c>
      <c r="D26" s="24">
        <f>SUM(D5:D25)</f>
        <v>203271</v>
      </c>
      <c r="E26" s="24">
        <f>SUM(E5:E25)</f>
        <v>408838</v>
      </c>
      <c r="F26" s="30">
        <f>AVERAGE(F5:F25)</f>
        <v>109.33333333333333</v>
      </c>
    </row>
    <row r="27" spans="1:6" x14ac:dyDescent="0.25">
      <c r="C27" s="7"/>
      <c r="D27" s="7"/>
      <c r="E27" s="7"/>
      <c r="F27" s="7"/>
    </row>
    <row r="28" spans="1:6" x14ac:dyDescent="0.25">
      <c r="A28" s="47" t="s">
        <v>20</v>
      </c>
      <c r="B28" s="47"/>
      <c r="C28" s="47"/>
      <c r="D28" s="47"/>
      <c r="E28" s="31">
        <f>E26</f>
        <v>408838</v>
      </c>
      <c r="F28" s="14"/>
    </row>
    <row r="29" spans="1:6" x14ac:dyDescent="0.25">
      <c r="A29" s="47" t="s">
        <v>14</v>
      </c>
      <c r="B29" s="47"/>
      <c r="C29" s="47"/>
      <c r="D29" s="47"/>
      <c r="E29" s="31">
        <f>AVERAGE(E5:E25)</f>
        <v>19468.476190476191</v>
      </c>
      <c r="F29" s="14"/>
    </row>
    <row r="34" spans="1:6" x14ac:dyDescent="0.25">
      <c r="A34" s="48" t="s">
        <v>21</v>
      </c>
      <c r="B34" s="48"/>
      <c r="C34" s="48"/>
      <c r="D34" s="48"/>
      <c r="E34" s="48"/>
      <c r="F34" s="48"/>
    </row>
    <row r="35" spans="1:6" ht="11.25" customHeight="1" x14ac:dyDescent="0.25">
      <c r="A35" s="42" t="s">
        <v>0</v>
      </c>
      <c r="B35" s="42" t="s">
        <v>1</v>
      </c>
      <c r="C35" s="44" t="s">
        <v>5</v>
      </c>
      <c r="D35" s="44" t="s">
        <v>6</v>
      </c>
      <c r="E35" s="45" t="s">
        <v>18</v>
      </c>
      <c r="F35" s="42" t="s">
        <v>11</v>
      </c>
    </row>
    <row r="36" spans="1:6" x14ac:dyDescent="0.25">
      <c r="A36" s="42"/>
      <c r="B36" s="42"/>
      <c r="C36" s="44"/>
      <c r="D36" s="44"/>
      <c r="E36" s="46"/>
      <c r="F36" s="42"/>
    </row>
    <row r="37" spans="1:6" x14ac:dyDescent="0.25">
      <c r="A37" s="19" t="s">
        <v>8</v>
      </c>
      <c r="B37" s="20">
        <v>44198</v>
      </c>
      <c r="C37" s="22">
        <v>10257</v>
      </c>
      <c r="D37" s="22">
        <v>10175</v>
      </c>
      <c r="E37" s="21">
        <f t="shared" ref="E37:E46" si="2">SUM(C37:D37)</f>
        <v>20432</v>
      </c>
      <c r="F37" s="21">
        <f t="shared" ref="F37:F42" si="3">C37-D37</f>
        <v>82</v>
      </c>
    </row>
    <row r="38" spans="1:6" x14ac:dyDescent="0.25">
      <c r="A38" s="19" t="s">
        <v>9</v>
      </c>
      <c r="B38" s="20">
        <v>44199</v>
      </c>
      <c r="C38" s="22">
        <v>5360</v>
      </c>
      <c r="D38" s="22">
        <v>5208</v>
      </c>
      <c r="E38" s="21">
        <f t="shared" si="2"/>
        <v>10568</v>
      </c>
      <c r="F38" s="21">
        <f t="shared" si="3"/>
        <v>152</v>
      </c>
    </row>
    <row r="39" spans="1:6" x14ac:dyDescent="0.25">
      <c r="A39" s="19" t="s">
        <v>8</v>
      </c>
      <c r="B39" s="20">
        <v>44205</v>
      </c>
      <c r="C39" s="21">
        <v>7292</v>
      </c>
      <c r="D39" s="22">
        <v>7147</v>
      </c>
      <c r="E39" s="21">
        <f t="shared" si="2"/>
        <v>14439</v>
      </c>
      <c r="F39" s="21">
        <f t="shared" si="3"/>
        <v>145</v>
      </c>
    </row>
    <row r="40" spans="1:6" x14ac:dyDescent="0.25">
      <c r="A40" s="19" t="s">
        <v>9</v>
      </c>
      <c r="B40" s="20">
        <v>44206</v>
      </c>
      <c r="C40" s="21">
        <v>6183</v>
      </c>
      <c r="D40" s="22">
        <v>6020</v>
      </c>
      <c r="E40" s="21">
        <f t="shared" si="2"/>
        <v>12203</v>
      </c>
      <c r="F40" s="21">
        <f t="shared" si="3"/>
        <v>163</v>
      </c>
    </row>
    <row r="41" spans="1:6" x14ac:dyDescent="0.25">
      <c r="A41" s="19" t="s">
        <v>8</v>
      </c>
      <c r="B41" s="20">
        <v>44212</v>
      </c>
      <c r="C41" s="21">
        <v>7289</v>
      </c>
      <c r="D41" s="22">
        <v>7178</v>
      </c>
      <c r="E41" s="21">
        <f t="shared" si="2"/>
        <v>14467</v>
      </c>
      <c r="F41" s="21">
        <f t="shared" si="3"/>
        <v>111</v>
      </c>
    </row>
    <row r="42" spans="1:6" x14ac:dyDescent="0.25">
      <c r="A42" s="19" t="s">
        <v>9</v>
      </c>
      <c r="B42" s="20">
        <v>44213</v>
      </c>
      <c r="C42" s="21">
        <v>6864</v>
      </c>
      <c r="D42" s="22">
        <v>6609</v>
      </c>
      <c r="E42" s="21">
        <f t="shared" si="2"/>
        <v>13473</v>
      </c>
      <c r="F42" s="21">
        <f t="shared" si="3"/>
        <v>255</v>
      </c>
    </row>
    <row r="43" spans="1:6" x14ac:dyDescent="0.25">
      <c r="A43" s="19" t="s">
        <v>8</v>
      </c>
      <c r="B43" s="20">
        <v>44219</v>
      </c>
      <c r="C43" s="21">
        <v>7120</v>
      </c>
      <c r="D43" s="22">
        <v>6978</v>
      </c>
      <c r="E43" s="21">
        <f t="shared" si="2"/>
        <v>14098</v>
      </c>
      <c r="F43" s="21">
        <f>C43-D43</f>
        <v>142</v>
      </c>
    </row>
    <row r="44" spans="1:6" x14ac:dyDescent="0.25">
      <c r="A44" s="19" t="s">
        <v>9</v>
      </c>
      <c r="B44" s="20">
        <v>44220</v>
      </c>
      <c r="C44" s="21">
        <v>5665</v>
      </c>
      <c r="D44" s="22">
        <v>5511</v>
      </c>
      <c r="E44" s="21">
        <f t="shared" si="2"/>
        <v>11176</v>
      </c>
      <c r="F44" s="21">
        <f>C44-D44</f>
        <v>154</v>
      </c>
    </row>
    <row r="45" spans="1:6" x14ac:dyDescent="0.25">
      <c r="A45" s="19" t="s">
        <v>8</v>
      </c>
      <c r="B45" s="20">
        <v>44226</v>
      </c>
      <c r="C45" s="21">
        <v>6579</v>
      </c>
      <c r="D45" s="22">
        <v>6451</v>
      </c>
      <c r="E45" s="21">
        <f t="shared" si="2"/>
        <v>13030</v>
      </c>
      <c r="F45" s="21"/>
    </row>
    <row r="46" spans="1:6" x14ac:dyDescent="0.25">
      <c r="A46" s="19" t="s">
        <v>9</v>
      </c>
      <c r="B46" s="20">
        <v>44227</v>
      </c>
      <c r="C46" s="21">
        <v>5205</v>
      </c>
      <c r="D46" s="22">
        <v>5090</v>
      </c>
      <c r="E46" s="21">
        <f t="shared" si="2"/>
        <v>10295</v>
      </c>
      <c r="F46" s="21"/>
    </row>
    <row r="47" spans="1:6" x14ac:dyDescent="0.25">
      <c r="A47" s="29"/>
      <c r="B47" s="23" t="s">
        <v>2</v>
      </c>
      <c r="C47" s="24">
        <f>SUM(C37:C46)</f>
        <v>67814</v>
      </c>
      <c r="D47" s="24">
        <f>SUM(D37:D46)</f>
        <v>66367</v>
      </c>
      <c r="E47" s="24">
        <f>SUM(E37:E46)</f>
        <v>134181</v>
      </c>
      <c r="F47" s="24">
        <f>AVERAGE(F37:F40)</f>
        <v>135.5</v>
      </c>
    </row>
    <row r="48" spans="1:6" ht="7.5" customHeight="1" x14ac:dyDescent="0.25">
      <c r="C48" s="7"/>
      <c r="D48" s="7"/>
      <c r="E48" s="7"/>
      <c r="F48" s="13"/>
    </row>
    <row r="49" spans="1:7" x14ac:dyDescent="0.25">
      <c r="A49" s="47" t="s">
        <v>22</v>
      </c>
      <c r="B49" s="47"/>
      <c r="C49" s="47"/>
      <c r="D49" s="47"/>
      <c r="E49" s="32">
        <f>E47</f>
        <v>134181</v>
      </c>
      <c r="F49" s="15"/>
      <c r="G49" s="7"/>
    </row>
    <row r="50" spans="1:7" ht="7.5" customHeight="1" x14ac:dyDescent="0.25">
      <c r="A50" s="9"/>
      <c r="B50" s="9"/>
      <c r="C50" s="9"/>
      <c r="D50" s="9"/>
      <c r="E50" s="9"/>
      <c r="F50" s="9"/>
    </row>
    <row r="51" spans="1:7" x14ac:dyDescent="0.25">
      <c r="A51" s="47" t="s">
        <v>12</v>
      </c>
      <c r="B51" s="47"/>
      <c r="C51" s="47"/>
      <c r="D51" s="47"/>
      <c r="E51" s="32">
        <f xml:space="preserve"> AVERAGE(E37,E39,E41, E43,E45)</f>
        <v>15293.2</v>
      </c>
      <c r="F51" s="15"/>
    </row>
    <row r="52" spans="1:7" x14ac:dyDescent="0.25">
      <c r="A52" s="47" t="s">
        <v>13</v>
      </c>
      <c r="B52" s="47"/>
      <c r="C52" s="47"/>
      <c r="D52" s="47"/>
      <c r="E52" s="32">
        <f xml:space="preserve"> AVERAGE(E38,E40,E42, E44,E46)</f>
        <v>11543</v>
      </c>
      <c r="F52" s="15"/>
    </row>
  </sheetData>
  <mergeCells count="19">
    <mergeCell ref="A2:F2"/>
    <mergeCell ref="F3:F4"/>
    <mergeCell ref="F35:F36"/>
    <mergeCell ref="A34:F34"/>
    <mergeCell ref="D3:D4"/>
    <mergeCell ref="C35:C36"/>
    <mergeCell ref="D35:D36"/>
    <mergeCell ref="A28:D28"/>
    <mergeCell ref="A29:D29"/>
    <mergeCell ref="E3:E4"/>
    <mergeCell ref="E35:E36"/>
    <mergeCell ref="A3:A4"/>
    <mergeCell ref="B3:B4"/>
    <mergeCell ref="C3:C4"/>
    <mergeCell ref="A52:D52"/>
    <mergeCell ref="A51:D51"/>
    <mergeCell ref="A35:A36"/>
    <mergeCell ref="B35:B36"/>
    <mergeCell ref="A49:D49"/>
  </mergeCells>
  <phoneticPr fontId="2" type="noConversion"/>
  <printOptions horizontalCentered="1"/>
  <pageMargins left="0.75" right="0.75" top="1" bottom="1" header="0.5" footer="0.5"/>
  <pageSetup orientation="portrait" r:id="rId1"/>
  <headerFooter alignWithMargins="0">
    <oddFooter>Page &amp;P of &amp;N</oddFooter>
  </headerFooter>
  <ignoredErrors>
    <ignoredError sqref="E5 E37 E6:E25 E38:E46" formulaRange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AE8379B00F7343AA85C9CCF3ABC79C" ma:contentTypeVersion="10" ma:contentTypeDescription="Create a new document." ma:contentTypeScope="" ma:versionID="d5e8cfcf6eb2dd5d2db3c0c620d248eb">
  <xsd:schema xmlns:xsd="http://www.w3.org/2001/XMLSchema" xmlns:xs="http://www.w3.org/2001/XMLSchema" xmlns:p="http://schemas.microsoft.com/office/2006/metadata/properties" xmlns:ns1="http://schemas.microsoft.com/sharepoint/v3" xmlns:ns2="670d3029-f9df-404e-98fc-7004dcdec636" xmlns:ns3="5f7ac3ca-9ce0-489a-bc70-1e3f2f642f01" targetNamespace="http://schemas.microsoft.com/office/2006/metadata/properties" ma:root="true" ma:fieldsID="d03289d0b41cd5157412eb94182a3401" ns1:_="" ns2:_="" ns3:_="">
    <xsd:import namespace="http://schemas.microsoft.com/sharepoint/v3"/>
    <xsd:import namespace="670d3029-f9df-404e-98fc-7004dcdec636"/>
    <xsd:import namespace="5f7ac3ca-9ce0-489a-bc70-1e3f2f642f0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0d3029-f9df-404e-98fc-7004dcdec6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7ac3ca-9ce0-489a-bc70-1e3f2f642f0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B574C3E-8205-4BB8-8166-CBB686876F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70d3029-f9df-404e-98fc-7004dcdec636"/>
    <ds:schemaRef ds:uri="5f7ac3ca-9ce0-489a-bc70-1e3f2f642f0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D4F9FB9-3C8C-46DE-B49D-185851F33D09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AF4683A7-34F8-4B94-BD00-B2045225D02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TOTALS</vt:lpstr>
      <vt:lpstr>Weekday-Weekend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tabbott</dc:creator>
  <cp:lastModifiedBy>Lucy Santana</cp:lastModifiedBy>
  <cp:lastPrinted>2013-06-05T11:40:15Z</cp:lastPrinted>
  <dcterms:created xsi:type="dcterms:W3CDTF">2006-12-14T13:28:56Z</dcterms:created>
  <dcterms:modified xsi:type="dcterms:W3CDTF">2026-04-07T21:38:09Z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0x01010056AE8379B00F7343AA85C9CCF3ABC79C</vt:lpwstr>
  </property>
</Properties>
</file>