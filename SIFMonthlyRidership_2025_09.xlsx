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0" documentId="8_{313E7D71-B168-4404-BEF7-4EAB77987C55}" xr6:coauthVersionLast="47" xr6:coauthVersionMax="47" xr10:uidLastSave="{00000000-0000-0000-0000-000000000000}"/>
  <bookViews>
    <workbookView xWindow="-108" yWindow="-108" windowWidth="23256" windowHeight="13896" xr2:uid="{C963CD09-8DC5-4FD9-AF72-46CF6FD86A0C}"/>
  </bookViews>
  <sheets>
    <sheet name="TOTALS" sheetId="1" r:id="rId1"/>
    <sheet name="Weekday-Weeken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3" l="1"/>
  <c r="E44" i="3"/>
  <c r="D45" i="3"/>
  <c r="E25" i="3"/>
  <c r="E24" i="3"/>
  <c r="D27" i="3"/>
  <c r="E23" i="1"/>
  <c r="E37" i="1" s="1"/>
  <c r="E39" i="1" s="1"/>
  <c r="E24" i="1"/>
  <c r="E15" i="3"/>
  <c r="E14" i="3"/>
  <c r="E13" i="3"/>
  <c r="E8" i="3"/>
  <c r="E6" i="3"/>
  <c r="E26" i="3"/>
  <c r="E42" i="3"/>
  <c r="E18" i="3"/>
  <c r="E38" i="3"/>
  <c r="E50" i="3" s="1"/>
  <c r="E39" i="3"/>
  <c r="E40" i="3"/>
  <c r="E41" i="3"/>
  <c r="E37" i="3"/>
  <c r="E45" i="3" s="1"/>
  <c r="E47" i="3" s="1"/>
  <c r="A7" i="1"/>
  <c r="A8" i="1"/>
  <c r="E16" i="3"/>
  <c r="E17" i="3"/>
  <c r="E19" i="3"/>
  <c r="E20" i="3"/>
  <c r="E21" i="3"/>
  <c r="E22" i="3"/>
  <c r="E23" i="3"/>
  <c r="E12" i="3"/>
  <c r="E11" i="3"/>
  <c r="E10" i="3"/>
  <c r="E7" i="3"/>
  <c r="E9" i="3"/>
  <c r="D37" i="1"/>
  <c r="C37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6" i="1"/>
  <c r="A35" i="1"/>
  <c r="C45" i="3"/>
  <c r="E5" i="3"/>
  <c r="C27" i="3"/>
  <c r="E27" i="3" l="1"/>
  <c r="E29" i="3" s="1"/>
  <c r="E30" i="3"/>
  <c r="E49" i="3"/>
</calcChain>
</file>

<file path=xl/sharedStrings.xml><?xml version="1.0" encoding="utf-8"?>
<sst xmlns="http://schemas.openxmlformats.org/spreadsheetml/2006/main" count="62" uniqueCount="24">
  <si>
    <t>Day</t>
  </si>
  <si>
    <t>Date</t>
  </si>
  <si>
    <t>TOTALS:</t>
  </si>
  <si>
    <t>WHT</t>
  </si>
  <si>
    <t>STG</t>
  </si>
  <si>
    <t xml:space="preserve">Average Saturday Passengers: </t>
  </si>
  <si>
    <t xml:space="preserve">Average Sunday Passengers: </t>
  </si>
  <si>
    <t xml:space="preserve">Average Passengers/Weekday: </t>
  </si>
  <si>
    <t xml:space="preserve">PASSENGER COUNT TOTAL:  </t>
  </si>
  <si>
    <t>Combined TOTAL</t>
  </si>
  <si>
    <t>MON</t>
  </si>
  <si>
    <t>WED</t>
  </si>
  <si>
    <t>FRI</t>
  </si>
  <si>
    <t>THU</t>
  </si>
  <si>
    <t>TUE</t>
  </si>
  <si>
    <t>Labor Day</t>
  </si>
  <si>
    <t>SAT</t>
  </si>
  <si>
    <t>SUN</t>
  </si>
  <si>
    <t xml:space="preserve">       September 2025 Staten Island Ferry Ridership</t>
  </si>
  <si>
    <t xml:space="preserve">September 2025:  WEEKDAY TOTALS </t>
  </si>
  <si>
    <t xml:space="preserve">Total Weekday Pax Count September 2025: </t>
  </si>
  <si>
    <t xml:space="preserve">September 2025:  WEEKEND TOTALS </t>
  </si>
  <si>
    <t xml:space="preserve">Total Weekend Pax Count September 2025: </t>
  </si>
  <si>
    <t xml:space="preserve">Rosh Hashanah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</si>
</sst>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sz val="11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164" fontId="4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0" fontId="4" fillId="5" borderId="1" xfId="0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/>
    </xf>
    <xf numFmtId="164" fontId="6" fillId="0" borderId="1" xfId="1" applyNumberFormat="1" applyFont="1" applyBorder="1" applyAlignment="1"/>
    <xf numFmtId="164" fontId="4" fillId="0" borderId="1" xfId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6" fillId="0" borderId="1" xfId="1" applyNumberFormat="1" applyFont="1" applyBorder="1" applyAlignment="1">
      <alignment vertical="center"/>
    </xf>
    <xf numFmtId="164" fontId="4" fillId="0" borderId="1" xfId="1" applyNumberFormat="1" applyFont="1" applyBorder="1" applyAlignment="1">
      <alignment vertical="center"/>
    </xf>
    <xf numFmtId="164" fontId="6" fillId="0" borderId="1" xfId="1" applyNumberFormat="1" applyFont="1" applyFill="1" applyBorder="1" applyAlignment="1">
      <alignment vertical="center"/>
    </xf>
    <xf numFmtId="164" fontId="6" fillId="0" borderId="1" xfId="1" applyNumberFormat="1" applyFont="1" applyBorder="1" applyAlignment="1">
      <alignment horizontal="center" vertical="center"/>
    </xf>
    <xf numFmtId="3" fontId="6" fillId="0" borderId="1" xfId="0" applyNumberFormat="1" applyFont="1" applyBorder="1"/>
    <xf numFmtId="164" fontId="4" fillId="0" borderId="1" xfId="1" applyNumberFormat="1" applyFont="1" applyBorder="1" applyAlignment="1"/>
    <xf numFmtId="41" fontId="9" fillId="2" borderId="2" xfId="0" applyNumberFormat="1" applyFont="1" applyFill="1" applyBorder="1" applyAlignment="1">
      <alignment horizontal="center"/>
    </xf>
    <xf numFmtId="14" fontId="9" fillId="0" borderId="0" xfId="0" applyNumberFormat="1" applyFont="1" applyAlignment="1">
      <alignment horizontal="right"/>
    </xf>
    <xf numFmtId="41" fontId="9" fillId="0" borderId="0" xfId="0" applyNumberFormat="1" applyFont="1" applyAlignment="1">
      <alignment horizontal="center"/>
    </xf>
    <xf numFmtId="37" fontId="9" fillId="0" borderId="0" xfId="0" applyNumberFormat="1" applyFont="1" applyAlignment="1">
      <alignment horizontal="center"/>
    </xf>
    <xf numFmtId="41" fontId="9" fillId="2" borderId="3" xfId="0" applyNumberFormat="1" applyFont="1" applyFill="1" applyBorder="1" applyAlignment="1">
      <alignment horizontal="center"/>
    </xf>
    <xf numFmtId="14" fontId="4" fillId="5" borderId="1" xfId="0" applyNumberFormat="1" applyFont="1" applyFill="1" applyBorder="1"/>
    <xf numFmtId="3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/>
    <xf numFmtId="164" fontId="4" fillId="0" borderId="1" xfId="1" applyNumberFormat="1" applyFont="1" applyBorder="1"/>
    <xf numFmtId="41" fontId="9" fillId="2" borderId="1" xfId="0" applyNumberFormat="1" applyFont="1" applyFill="1" applyBorder="1" applyAlignment="1">
      <alignment horizontal="center"/>
    </xf>
    <xf numFmtId="41" fontId="4" fillId="0" borderId="0" xfId="0" applyNumberFormat="1" applyFont="1" applyAlignment="1">
      <alignment horizontal="center"/>
    </xf>
    <xf numFmtId="37" fontId="9" fillId="2" borderId="1" xfId="0" applyNumberFormat="1" applyFont="1" applyFill="1" applyBorder="1" applyAlignment="1">
      <alignment horizontal="right"/>
    </xf>
    <xf numFmtId="3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7" fontId="9" fillId="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right"/>
    </xf>
    <xf numFmtId="17" fontId="7" fillId="3" borderId="4" xfId="0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 vertical="center"/>
    </xf>
    <xf numFmtId="0" fontId="4" fillId="0" borderId="8" xfId="0" applyFont="1" applyBorder="1"/>
    <xf numFmtId="0" fontId="8" fillId="4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8" fillId="4" borderId="1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top" wrapText="1"/>
    </xf>
    <xf numFmtId="0" fontId="8" fillId="4" borderId="10" xfId="0" applyFont="1" applyFill="1" applyBorder="1" applyAlignment="1">
      <alignment horizontal="center" vertical="top" wrapText="1"/>
    </xf>
    <xf numFmtId="14" fontId="9" fillId="2" borderId="11" xfId="0" applyNumberFormat="1" applyFont="1" applyFill="1" applyBorder="1" applyAlignment="1">
      <alignment horizontal="center"/>
    </xf>
    <xf numFmtId="14" fontId="9" fillId="2" borderId="12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top" wrapText="1"/>
    </xf>
    <xf numFmtId="14" fontId="9" fillId="2" borderId="1" xfId="0" applyNumberFormat="1" applyFont="1" applyFill="1" applyBorder="1" applyAlignment="1">
      <alignment horizontal="center"/>
    </xf>
    <xf numFmtId="41" fontId="9" fillId="2" borderId="1" xfId="0" applyNumberFormat="1" applyFont="1" applyFill="1" applyBorder="1" applyAlignment="1">
      <alignment horizontal="right"/>
    </xf>
    <xf numFmtId="41" fontId="9" fillId="2" borderId="0" xfId="0" applyNumberFormat="1" applyFont="1" applyFill="1" applyBorder="1" applyAlignment="1">
      <alignment horizontal="right"/>
    </xf>
    <xf numFmtId="37" fontId="9" fillId="2" borderId="0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1</xdr:col>
      <xdr:colOff>190500</xdr:colOff>
      <xdr:row>2</xdr:row>
      <xdr:rowOff>133350</xdr:rowOff>
    </xdr:to>
    <xdr:pic>
      <xdr:nvPicPr>
        <xdr:cNvPr id="9216" name="Picture 31" descr="DOT%20Logo_green">
          <a:extLst>
            <a:ext uri="{FF2B5EF4-FFF2-40B4-BE49-F238E27FC236}">
              <a16:creationId xmlns:a16="http://schemas.microsoft.com/office/drawing/2014/main" id="{E4D94CD5-337D-2A50-07C8-7CECC5AB7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38100"/>
          <a:ext cx="733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30EF-07ED-4C9B-AE95-11D1C94D64C5}">
  <dimension ref="A1:F39"/>
  <sheetViews>
    <sheetView tabSelected="1" workbookViewId="0">
      <selection activeCell="A5" sqref="A5:A6"/>
    </sheetView>
  </sheetViews>
  <sheetFormatPr defaultColWidth="9.109375" defaultRowHeight="14.4" x14ac:dyDescent="0.3"/>
  <cols>
    <col min="1" max="1" width="9.109375" style="3" customWidth="1"/>
    <col min="2" max="2" width="13.44140625" style="3" customWidth="1"/>
    <col min="3" max="4" width="12.33203125" style="3" customWidth="1"/>
    <col min="5" max="5" width="15.5546875" style="3" customWidth="1"/>
    <col min="6" max="6" width="16.109375" style="4" customWidth="1"/>
    <col min="7" max="11" width="9.109375" style="1"/>
    <col min="12" max="12" width="9.6640625" style="1" bestFit="1" customWidth="1"/>
    <col min="13" max="16384" width="9.109375" style="1"/>
  </cols>
  <sheetData>
    <row r="1" spans="1:6" ht="12.75" customHeight="1" x14ac:dyDescent="0.3"/>
    <row r="2" spans="1:6" x14ac:dyDescent="0.3">
      <c r="A2" s="5"/>
      <c r="B2" s="5" t="s">
        <v>18</v>
      </c>
      <c r="C2" s="5"/>
      <c r="D2" s="5"/>
      <c r="E2" s="5"/>
    </row>
    <row r="3" spans="1:6" ht="15" customHeight="1" thickBot="1" x14ac:dyDescent="0.35"/>
    <row r="4" spans="1:6" x14ac:dyDescent="0.3">
      <c r="A4" s="34">
        <v>45901</v>
      </c>
      <c r="B4" s="35"/>
      <c r="C4" s="35"/>
      <c r="D4" s="35"/>
      <c r="E4" s="35"/>
    </row>
    <row r="5" spans="1:6" x14ac:dyDescent="0.3">
      <c r="A5" s="38" t="s">
        <v>0</v>
      </c>
      <c r="B5" s="40" t="s">
        <v>1</v>
      </c>
      <c r="C5" s="42" t="s">
        <v>3</v>
      </c>
      <c r="D5" s="40" t="s">
        <v>4</v>
      </c>
      <c r="E5" s="43" t="s">
        <v>9</v>
      </c>
    </row>
    <row r="6" spans="1:6" x14ac:dyDescent="0.3">
      <c r="A6" s="39"/>
      <c r="B6" s="41"/>
      <c r="C6" s="41"/>
      <c r="D6" s="41"/>
      <c r="E6" s="44"/>
    </row>
    <row r="7" spans="1:6" x14ac:dyDescent="0.3">
      <c r="A7" s="6" t="str">
        <f>CHOOSE(WEEKDAY(B7),"SUN","MON","TUES","WED","THU","FRI","SAT")</f>
        <v>MON</v>
      </c>
      <c r="B7" s="7">
        <v>45901</v>
      </c>
      <c r="C7" s="8">
        <v>22481</v>
      </c>
      <c r="D7" s="8">
        <v>22076</v>
      </c>
      <c r="E7" s="9">
        <v>44557</v>
      </c>
      <c r="F7" s="4" t="s">
        <v>15</v>
      </c>
    </row>
    <row r="8" spans="1:6" x14ac:dyDescent="0.3">
      <c r="A8" s="10" t="str">
        <f t="shared" ref="A8:A35" si="0">CHOOSE(WEEKDAY(B8),"SUN","MON","TUES","WED","THU","FRI","SAT")</f>
        <v>TUES</v>
      </c>
      <c r="B8" s="11">
        <v>45902</v>
      </c>
      <c r="C8" s="8">
        <v>24133</v>
      </c>
      <c r="D8" s="8">
        <v>23662</v>
      </c>
      <c r="E8" s="9">
        <v>47795</v>
      </c>
    </row>
    <row r="9" spans="1:6" x14ac:dyDescent="0.3">
      <c r="A9" s="10" t="str">
        <f t="shared" si="0"/>
        <v>WED</v>
      </c>
      <c r="B9" s="11">
        <v>45903</v>
      </c>
      <c r="C9" s="8">
        <v>24867</v>
      </c>
      <c r="D9" s="8">
        <v>24388</v>
      </c>
      <c r="E9" s="9">
        <v>49255</v>
      </c>
    </row>
    <row r="10" spans="1:6" x14ac:dyDescent="0.3">
      <c r="A10" s="10" t="str">
        <f t="shared" si="0"/>
        <v>THU</v>
      </c>
      <c r="B10" s="11">
        <v>45904</v>
      </c>
      <c r="C10" s="12">
        <v>24789</v>
      </c>
      <c r="D10" s="13">
        <v>24346</v>
      </c>
      <c r="E10" s="9">
        <v>49135</v>
      </c>
    </row>
    <row r="11" spans="1:6" x14ac:dyDescent="0.3">
      <c r="A11" s="10" t="str">
        <f t="shared" si="0"/>
        <v>FRI</v>
      </c>
      <c r="B11" s="11">
        <v>45905</v>
      </c>
      <c r="C11" s="12">
        <v>25411</v>
      </c>
      <c r="D11" s="13">
        <v>25333</v>
      </c>
      <c r="E11" s="9">
        <v>50744</v>
      </c>
    </row>
    <row r="12" spans="1:6" x14ac:dyDescent="0.3">
      <c r="A12" s="10" t="str">
        <f t="shared" si="0"/>
        <v>SAT</v>
      </c>
      <c r="B12" s="11">
        <v>45906</v>
      </c>
      <c r="C12" s="12">
        <v>19503</v>
      </c>
      <c r="D12" s="12">
        <v>18860</v>
      </c>
      <c r="E12" s="9">
        <v>38363</v>
      </c>
    </row>
    <row r="13" spans="1:6" x14ac:dyDescent="0.3">
      <c r="A13" s="10" t="str">
        <f t="shared" si="0"/>
        <v>SUN</v>
      </c>
      <c r="B13" s="11">
        <v>45907</v>
      </c>
      <c r="C13" s="8">
        <v>15855</v>
      </c>
      <c r="D13" s="8">
        <v>14882</v>
      </c>
      <c r="E13" s="9">
        <v>30737</v>
      </c>
    </row>
    <row r="14" spans="1:6" x14ac:dyDescent="0.3">
      <c r="A14" s="10" t="str">
        <f t="shared" si="0"/>
        <v>MON</v>
      </c>
      <c r="B14" s="11">
        <v>45908</v>
      </c>
      <c r="C14" s="8">
        <v>25990</v>
      </c>
      <c r="D14" s="8">
        <v>25571</v>
      </c>
      <c r="E14" s="9">
        <v>51561</v>
      </c>
    </row>
    <row r="15" spans="1:6" x14ac:dyDescent="0.3">
      <c r="A15" s="10" t="str">
        <f t="shared" si="0"/>
        <v>TUES</v>
      </c>
      <c r="B15" s="11">
        <v>45909</v>
      </c>
      <c r="C15" s="8">
        <v>25694</v>
      </c>
      <c r="D15" s="8">
        <v>25411</v>
      </c>
      <c r="E15" s="9">
        <v>51105</v>
      </c>
    </row>
    <row r="16" spans="1:6" x14ac:dyDescent="0.3">
      <c r="A16" s="10" t="str">
        <f t="shared" si="0"/>
        <v>WED</v>
      </c>
      <c r="B16" s="11">
        <v>45910</v>
      </c>
      <c r="C16" s="8">
        <v>23125</v>
      </c>
      <c r="D16" s="8">
        <v>22907</v>
      </c>
      <c r="E16" s="9">
        <v>46032</v>
      </c>
    </row>
    <row r="17" spans="1:6" x14ac:dyDescent="0.3">
      <c r="A17" s="10" t="str">
        <f t="shared" si="0"/>
        <v>THU</v>
      </c>
      <c r="B17" s="11">
        <v>45911</v>
      </c>
      <c r="C17" s="8">
        <v>27329</v>
      </c>
      <c r="D17" s="8">
        <v>27621</v>
      </c>
      <c r="E17" s="9">
        <v>54950</v>
      </c>
    </row>
    <row r="18" spans="1:6" x14ac:dyDescent="0.3">
      <c r="A18" s="10" t="str">
        <f t="shared" si="0"/>
        <v>FRI</v>
      </c>
      <c r="B18" s="11">
        <v>45912</v>
      </c>
      <c r="C18" s="8">
        <v>26450</v>
      </c>
      <c r="D18" s="8">
        <v>26385</v>
      </c>
      <c r="E18" s="9">
        <v>52835</v>
      </c>
    </row>
    <row r="19" spans="1:6" x14ac:dyDescent="0.3">
      <c r="A19" s="10" t="str">
        <f t="shared" si="0"/>
        <v>SAT</v>
      </c>
      <c r="B19" s="11">
        <v>45913</v>
      </c>
      <c r="C19" s="14">
        <v>24842</v>
      </c>
      <c r="D19" s="15">
        <v>24115</v>
      </c>
      <c r="E19" s="9">
        <v>48957</v>
      </c>
    </row>
    <row r="20" spans="1:6" x14ac:dyDescent="0.3">
      <c r="A20" s="10" t="str">
        <f t="shared" si="0"/>
        <v>SUN</v>
      </c>
      <c r="B20" s="11">
        <v>45914</v>
      </c>
      <c r="C20" s="16">
        <v>21017</v>
      </c>
      <c r="D20" s="16">
        <v>19481</v>
      </c>
      <c r="E20" s="9">
        <v>40498</v>
      </c>
    </row>
    <row r="21" spans="1:6" x14ac:dyDescent="0.3">
      <c r="A21" s="10" t="str">
        <f t="shared" si="0"/>
        <v>MON</v>
      </c>
      <c r="B21" s="11">
        <v>45915</v>
      </c>
      <c r="C21" s="16">
        <v>25400</v>
      </c>
      <c r="D21" s="16">
        <v>25204</v>
      </c>
      <c r="E21" s="9">
        <v>50604</v>
      </c>
    </row>
    <row r="22" spans="1:6" x14ac:dyDescent="0.3">
      <c r="A22" s="10" t="str">
        <f t="shared" si="0"/>
        <v>TUES</v>
      </c>
      <c r="B22" s="11">
        <v>45916</v>
      </c>
      <c r="C22" s="15">
        <v>24527</v>
      </c>
      <c r="D22" s="15">
        <v>24181</v>
      </c>
      <c r="E22" s="9">
        <v>48708</v>
      </c>
    </row>
    <row r="23" spans="1:6" x14ac:dyDescent="0.3">
      <c r="A23" s="10" t="str">
        <f t="shared" si="0"/>
        <v>WED</v>
      </c>
      <c r="B23" s="11">
        <v>45917</v>
      </c>
      <c r="C23" s="14">
        <v>21738</v>
      </c>
      <c r="D23" s="15">
        <v>21408</v>
      </c>
      <c r="E23" s="9">
        <f>SUM(C23:D23)</f>
        <v>43146</v>
      </c>
    </row>
    <row r="24" spans="1:6" x14ac:dyDescent="0.3">
      <c r="A24" s="10" t="str">
        <f t="shared" si="0"/>
        <v>THU</v>
      </c>
      <c r="B24" s="11">
        <v>45918</v>
      </c>
      <c r="C24" s="14">
        <v>25970</v>
      </c>
      <c r="D24" s="15">
        <v>25830</v>
      </c>
      <c r="E24" s="9">
        <f>SUM(C24:D24)</f>
        <v>51800</v>
      </c>
    </row>
    <row r="25" spans="1:6" x14ac:dyDescent="0.3">
      <c r="A25" s="10" t="str">
        <f t="shared" si="0"/>
        <v>FRI</v>
      </c>
      <c r="B25" s="11">
        <v>45919</v>
      </c>
      <c r="C25" s="8">
        <v>26461</v>
      </c>
      <c r="D25" s="17">
        <v>26731</v>
      </c>
      <c r="E25" s="9">
        <v>53192</v>
      </c>
    </row>
    <row r="26" spans="1:6" x14ac:dyDescent="0.3">
      <c r="A26" s="10" t="str">
        <f t="shared" si="0"/>
        <v>SAT</v>
      </c>
      <c r="B26" s="11">
        <v>45920</v>
      </c>
      <c r="C26" s="8">
        <v>25132</v>
      </c>
      <c r="D26" s="8">
        <v>24156</v>
      </c>
      <c r="E26" s="9">
        <v>49288</v>
      </c>
    </row>
    <row r="27" spans="1:6" x14ac:dyDescent="0.3">
      <c r="A27" s="10" t="str">
        <f t="shared" si="0"/>
        <v>SUN</v>
      </c>
      <c r="B27" s="11">
        <v>45921</v>
      </c>
      <c r="C27" s="8">
        <v>21214</v>
      </c>
      <c r="D27" s="17">
        <v>19800</v>
      </c>
      <c r="E27" s="9">
        <v>41014</v>
      </c>
    </row>
    <row r="28" spans="1:6" x14ac:dyDescent="0.3">
      <c r="A28" s="10" t="str">
        <f t="shared" si="0"/>
        <v>MON</v>
      </c>
      <c r="B28" s="11">
        <v>45922</v>
      </c>
      <c r="C28" s="8">
        <v>24143</v>
      </c>
      <c r="D28" s="8">
        <v>23697</v>
      </c>
      <c r="E28" s="9">
        <v>47840</v>
      </c>
    </row>
    <row r="29" spans="1:6" x14ac:dyDescent="0.3">
      <c r="A29" s="10" t="str">
        <f t="shared" si="0"/>
        <v>TUES</v>
      </c>
      <c r="B29" s="11">
        <v>45923</v>
      </c>
      <c r="C29" s="8">
        <v>24279</v>
      </c>
      <c r="D29" s="8">
        <v>24080</v>
      </c>
      <c r="E29" s="9">
        <v>48359</v>
      </c>
      <c r="F29" s="4" t="s">
        <v>23</v>
      </c>
    </row>
    <row r="30" spans="1:6" x14ac:dyDescent="0.3">
      <c r="A30" s="10" t="str">
        <f t="shared" si="0"/>
        <v>WED</v>
      </c>
      <c r="B30" s="11">
        <v>45924</v>
      </c>
      <c r="C30" s="14">
        <v>23779</v>
      </c>
      <c r="D30" s="15">
        <v>23564</v>
      </c>
      <c r="E30" s="9">
        <v>47343</v>
      </c>
      <c r="F30" s="4" t="s">
        <v>23</v>
      </c>
    </row>
    <row r="31" spans="1:6" x14ac:dyDescent="0.3">
      <c r="A31" s="10" t="str">
        <f t="shared" si="0"/>
        <v>THU</v>
      </c>
      <c r="B31" s="11">
        <v>45925</v>
      </c>
      <c r="C31" s="14">
        <v>20520</v>
      </c>
      <c r="D31" s="15">
        <v>20147</v>
      </c>
      <c r="E31" s="9">
        <v>40667</v>
      </c>
    </row>
    <row r="32" spans="1:6" x14ac:dyDescent="0.3">
      <c r="A32" s="10" t="str">
        <f t="shared" si="0"/>
        <v>FRI</v>
      </c>
      <c r="B32" s="11">
        <v>45926</v>
      </c>
      <c r="C32" s="8">
        <v>26547</v>
      </c>
      <c r="D32" s="8">
        <v>26611</v>
      </c>
      <c r="E32" s="9">
        <v>53158</v>
      </c>
    </row>
    <row r="33" spans="1:5" x14ac:dyDescent="0.3">
      <c r="A33" s="10" t="str">
        <f t="shared" si="0"/>
        <v>SAT</v>
      </c>
      <c r="B33" s="11">
        <v>45927</v>
      </c>
      <c r="C33" s="8">
        <v>24385</v>
      </c>
      <c r="D33" s="8">
        <v>24337</v>
      </c>
      <c r="E33" s="9">
        <v>48722</v>
      </c>
    </row>
    <row r="34" spans="1:5" x14ac:dyDescent="0.3">
      <c r="A34" s="10" t="str">
        <f t="shared" si="0"/>
        <v>SUN</v>
      </c>
      <c r="B34" s="11">
        <v>45928</v>
      </c>
      <c r="C34" s="8">
        <v>22185</v>
      </c>
      <c r="D34" s="8">
        <v>20052</v>
      </c>
      <c r="E34" s="9">
        <v>42237</v>
      </c>
    </row>
    <row r="35" spans="1:5" x14ac:dyDescent="0.3">
      <c r="A35" s="10" t="str">
        <f t="shared" si="0"/>
        <v>MON</v>
      </c>
      <c r="B35" s="11">
        <v>45929</v>
      </c>
      <c r="C35" s="8">
        <v>25240</v>
      </c>
      <c r="D35" s="8">
        <v>24741</v>
      </c>
      <c r="E35" s="9">
        <v>49981</v>
      </c>
    </row>
    <row r="36" spans="1:5" x14ac:dyDescent="0.3">
      <c r="A36" s="10" t="str">
        <f>CHOOSE(WEEKDAY(B36),"SUN","MON","TUES","WED","THU","FRI","SAT")</f>
        <v>TUES</v>
      </c>
      <c r="B36" s="11">
        <v>45930</v>
      </c>
      <c r="C36" s="8">
        <v>23830</v>
      </c>
      <c r="D36" s="8">
        <v>23911</v>
      </c>
      <c r="E36" s="9">
        <v>47741</v>
      </c>
    </row>
    <row r="37" spans="1:5" ht="15" thickBot="1" x14ac:dyDescent="0.35">
      <c r="A37" s="45" t="s">
        <v>2</v>
      </c>
      <c r="B37" s="46"/>
      <c r="C37" s="18">
        <f>SUM(C7:C36)</f>
        <v>716836</v>
      </c>
      <c r="D37" s="18">
        <f>SUM(D7:D36)</f>
        <v>703488</v>
      </c>
      <c r="E37" s="18">
        <f>SUM(E7:E36)</f>
        <v>1420324</v>
      </c>
    </row>
    <row r="38" spans="1:5" ht="15" thickBot="1" x14ac:dyDescent="0.35">
      <c r="B38" s="19"/>
      <c r="C38" s="20"/>
      <c r="D38" s="20"/>
      <c r="E38" s="21"/>
    </row>
    <row r="39" spans="1:5" ht="13.5" customHeight="1" thickBot="1" x14ac:dyDescent="0.35">
      <c r="A39" s="36" t="s">
        <v>8</v>
      </c>
      <c r="B39" s="37"/>
      <c r="C39" s="37"/>
      <c r="D39" s="37"/>
      <c r="E39" s="22">
        <f>E37</f>
        <v>1420324</v>
      </c>
    </row>
  </sheetData>
  <mergeCells count="8">
    <mergeCell ref="A4:E4"/>
    <mergeCell ref="A39:D39"/>
    <mergeCell ref="A5:A6"/>
    <mergeCell ref="B5:B6"/>
    <mergeCell ref="C5:C6"/>
    <mergeCell ref="D5:D6"/>
    <mergeCell ref="E5:E6"/>
    <mergeCell ref="A37:B37"/>
  </mergeCells>
  <phoneticPr fontId="2" type="noConversion"/>
  <printOptions horizontalCentered="1"/>
  <pageMargins left="0.25" right="0.25" top="0.75" bottom="0.75" header="0.3" footer="0.3"/>
  <pageSetup orientation="portrait" useFirstPageNumber="1" horizontalDpi="4294967293" r:id="rId1"/>
  <headerFooter alignWithMargins="0">
    <oddFooter>Page &amp;P of &amp;N</oddFooter>
  </headerFooter>
  <ignoredErrors>
    <ignoredError sqref="E23:E24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BDF7-C2E6-45DF-9B0E-F179979CCB2B}">
  <dimension ref="A2:F50"/>
  <sheetViews>
    <sheetView topLeftCell="A7" workbookViewId="0">
      <selection activeCell="A35" sqref="A35:A36"/>
    </sheetView>
  </sheetViews>
  <sheetFormatPr defaultColWidth="9.109375" defaultRowHeight="14.4" x14ac:dyDescent="0.3"/>
  <cols>
    <col min="1" max="1" width="8.33203125" style="3" customWidth="1"/>
    <col min="2" max="2" width="11.44140625" style="3" customWidth="1"/>
    <col min="3" max="4" width="13" style="3" customWidth="1"/>
    <col min="5" max="5" width="14" style="3" customWidth="1"/>
    <col min="6" max="6" width="20.44140625" style="3" customWidth="1"/>
    <col min="7" max="16384" width="9.109375" style="1"/>
  </cols>
  <sheetData>
    <row r="2" spans="1:5" x14ac:dyDescent="0.3">
      <c r="A2" s="47" t="s">
        <v>19</v>
      </c>
      <c r="B2" s="47"/>
      <c r="C2" s="47"/>
      <c r="D2" s="47"/>
      <c r="E2" s="47"/>
    </row>
    <row r="3" spans="1:5" ht="11.25" customHeight="1" x14ac:dyDescent="0.3">
      <c r="A3" s="40" t="s">
        <v>0</v>
      </c>
      <c r="B3" s="40" t="s">
        <v>1</v>
      </c>
      <c r="C3" s="42" t="s">
        <v>3</v>
      </c>
      <c r="D3" s="40" t="s">
        <v>4</v>
      </c>
      <c r="E3" s="48" t="s">
        <v>9</v>
      </c>
    </row>
    <row r="4" spans="1:5" x14ac:dyDescent="0.3">
      <c r="A4" s="40"/>
      <c r="B4" s="40"/>
      <c r="C4" s="42"/>
      <c r="D4" s="40"/>
      <c r="E4" s="48"/>
    </row>
    <row r="5" spans="1:5" x14ac:dyDescent="0.3">
      <c r="A5" s="10" t="s">
        <v>10</v>
      </c>
      <c r="B5" s="23">
        <v>45901</v>
      </c>
      <c r="C5" s="12">
        <v>22481</v>
      </c>
      <c r="D5" s="15">
        <v>22076</v>
      </c>
      <c r="E5" s="24">
        <f t="shared" ref="E5:E14" si="0">SUM(C5:D5)</f>
        <v>44557</v>
      </c>
    </row>
    <row r="6" spans="1:5" x14ac:dyDescent="0.3">
      <c r="A6" s="10" t="s">
        <v>14</v>
      </c>
      <c r="B6" s="25">
        <v>45902</v>
      </c>
      <c r="C6" s="26">
        <v>24133</v>
      </c>
      <c r="D6" s="26">
        <v>23662</v>
      </c>
      <c r="E6" s="24">
        <f t="shared" si="0"/>
        <v>47795</v>
      </c>
    </row>
    <row r="7" spans="1:5" x14ac:dyDescent="0.3">
      <c r="A7" s="10" t="s">
        <v>11</v>
      </c>
      <c r="B7" s="25">
        <v>45903</v>
      </c>
      <c r="C7" s="26">
        <v>24867</v>
      </c>
      <c r="D7" s="26">
        <v>24388</v>
      </c>
      <c r="E7" s="24">
        <f t="shared" si="0"/>
        <v>49255</v>
      </c>
    </row>
    <row r="8" spans="1:5" x14ac:dyDescent="0.3">
      <c r="A8" s="10" t="s">
        <v>13</v>
      </c>
      <c r="B8" s="25">
        <v>45904</v>
      </c>
      <c r="C8" s="26">
        <v>24789</v>
      </c>
      <c r="D8" s="15">
        <v>24346</v>
      </c>
      <c r="E8" s="24">
        <f t="shared" si="0"/>
        <v>49135</v>
      </c>
    </row>
    <row r="9" spans="1:5" x14ac:dyDescent="0.3">
      <c r="A9" s="10" t="s">
        <v>12</v>
      </c>
      <c r="B9" s="25">
        <v>45905</v>
      </c>
      <c r="C9" s="14">
        <v>25411</v>
      </c>
      <c r="D9" s="15">
        <v>25333</v>
      </c>
      <c r="E9" s="24">
        <f t="shared" si="0"/>
        <v>50744</v>
      </c>
    </row>
    <row r="10" spans="1:5" x14ac:dyDescent="0.3">
      <c r="A10" s="10" t="s">
        <v>10</v>
      </c>
      <c r="B10" s="25">
        <v>45908</v>
      </c>
      <c r="C10" s="14">
        <v>25990</v>
      </c>
      <c r="D10" s="15">
        <v>25571</v>
      </c>
      <c r="E10" s="24">
        <f t="shared" si="0"/>
        <v>51561</v>
      </c>
    </row>
    <row r="11" spans="1:5" x14ac:dyDescent="0.3">
      <c r="A11" s="10" t="s">
        <v>14</v>
      </c>
      <c r="B11" s="25">
        <v>45909</v>
      </c>
      <c r="C11" s="14">
        <v>25694</v>
      </c>
      <c r="D11" s="15">
        <v>25411</v>
      </c>
      <c r="E11" s="24">
        <f t="shared" si="0"/>
        <v>51105</v>
      </c>
    </row>
    <row r="12" spans="1:5" x14ac:dyDescent="0.3">
      <c r="A12" s="10" t="s">
        <v>11</v>
      </c>
      <c r="B12" s="25">
        <v>45910</v>
      </c>
      <c r="C12" s="14">
        <v>23125</v>
      </c>
      <c r="D12" s="15">
        <v>22907</v>
      </c>
      <c r="E12" s="24">
        <f t="shared" si="0"/>
        <v>46032</v>
      </c>
    </row>
    <row r="13" spans="1:5" x14ac:dyDescent="0.3">
      <c r="A13" s="10" t="s">
        <v>13</v>
      </c>
      <c r="B13" s="25">
        <v>45911</v>
      </c>
      <c r="C13" s="14">
        <v>27329</v>
      </c>
      <c r="D13" s="15">
        <v>27621</v>
      </c>
      <c r="E13" s="24">
        <f t="shared" si="0"/>
        <v>54950</v>
      </c>
    </row>
    <row r="14" spans="1:5" x14ac:dyDescent="0.3">
      <c r="A14" s="10" t="s">
        <v>12</v>
      </c>
      <c r="B14" s="25">
        <v>45912</v>
      </c>
      <c r="C14" s="14">
        <v>26450</v>
      </c>
      <c r="D14" s="15">
        <v>26385</v>
      </c>
      <c r="E14" s="24">
        <f t="shared" si="0"/>
        <v>52835</v>
      </c>
    </row>
    <row r="15" spans="1:5" x14ac:dyDescent="0.3">
      <c r="A15" s="10" t="s">
        <v>10</v>
      </c>
      <c r="B15" s="25">
        <v>45915</v>
      </c>
      <c r="C15" s="15">
        <v>25400</v>
      </c>
      <c r="D15" s="15">
        <v>25204</v>
      </c>
      <c r="E15" s="24">
        <f t="shared" ref="E15:E26" si="1">SUM(C15:D15)</f>
        <v>50604</v>
      </c>
    </row>
    <row r="16" spans="1:5" x14ac:dyDescent="0.3">
      <c r="A16" s="10" t="s">
        <v>14</v>
      </c>
      <c r="B16" s="25">
        <v>45916</v>
      </c>
      <c r="C16" s="14">
        <v>24527</v>
      </c>
      <c r="D16" s="15">
        <v>24181</v>
      </c>
      <c r="E16" s="24">
        <f t="shared" si="1"/>
        <v>48708</v>
      </c>
    </row>
    <row r="17" spans="1:6" x14ac:dyDescent="0.3">
      <c r="A17" s="10" t="s">
        <v>11</v>
      </c>
      <c r="B17" s="25">
        <v>45917</v>
      </c>
      <c r="C17" s="14">
        <v>21738</v>
      </c>
      <c r="D17" s="15">
        <v>21408</v>
      </c>
      <c r="E17" s="24">
        <f t="shared" si="1"/>
        <v>43146</v>
      </c>
    </row>
    <row r="18" spans="1:6" x14ac:dyDescent="0.3">
      <c r="A18" s="10" t="s">
        <v>13</v>
      </c>
      <c r="B18" s="25">
        <v>45918</v>
      </c>
      <c r="C18" s="14">
        <v>25970</v>
      </c>
      <c r="D18" s="15">
        <v>25830</v>
      </c>
      <c r="E18" s="24">
        <f t="shared" si="1"/>
        <v>51800</v>
      </c>
    </row>
    <row r="19" spans="1:6" x14ac:dyDescent="0.3">
      <c r="A19" s="10" t="s">
        <v>12</v>
      </c>
      <c r="B19" s="25">
        <v>45919</v>
      </c>
      <c r="C19" s="14">
        <v>26461</v>
      </c>
      <c r="D19" s="2">
        <v>26731</v>
      </c>
      <c r="E19" s="24">
        <f t="shared" si="1"/>
        <v>53192</v>
      </c>
    </row>
    <row r="20" spans="1:6" x14ac:dyDescent="0.3">
      <c r="A20" s="10" t="s">
        <v>10</v>
      </c>
      <c r="B20" s="25">
        <v>45922</v>
      </c>
      <c r="C20" s="14">
        <v>24143</v>
      </c>
      <c r="D20" s="15">
        <v>23697</v>
      </c>
      <c r="E20" s="24">
        <f t="shared" si="1"/>
        <v>47840</v>
      </c>
    </row>
    <row r="21" spans="1:6" x14ac:dyDescent="0.3">
      <c r="A21" s="10" t="s">
        <v>14</v>
      </c>
      <c r="B21" s="25">
        <v>45923</v>
      </c>
      <c r="C21" s="14">
        <v>24279</v>
      </c>
      <c r="D21" s="15">
        <v>24080</v>
      </c>
      <c r="E21" s="24">
        <f t="shared" si="1"/>
        <v>48359</v>
      </c>
      <c r="F21" s="3" t="s">
        <v>23</v>
      </c>
    </row>
    <row r="22" spans="1:6" x14ac:dyDescent="0.3">
      <c r="A22" s="10" t="s">
        <v>11</v>
      </c>
      <c r="B22" s="25">
        <v>45924</v>
      </c>
      <c r="C22" s="14">
        <v>23779</v>
      </c>
      <c r="D22" s="15">
        <v>23564</v>
      </c>
      <c r="E22" s="24">
        <f t="shared" si="1"/>
        <v>47343</v>
      </c>
      <c r="F22" s="3" t="s">
        <v>23</v>
      </c>
    </row>
    <row r="23" spans="1:6" x14ac:dyDescent="0.3">
      <c r="A23" s="10" t="s">
        <v>13</v>
      </c>
      <c r="B23" s="25">
        <v>45925</v>
      </c>
      <c r="C23" s="14">
        <v>20520</v>
      </c>
      <c r="D23" s="15">
        <v>20147</v>
      </c>
      <c r="E23" s="24">
        <f t="shared" si="1"/>
        <v>40667</v>
      </c>
    </row>
    <row r="24" spans="1:6" x14ac:dyDescent="0.3">
      <c r="A24" s="10" t="s">
        <v>12</v>
      </c>
      <c r="B24" s="25">
        <v>45926</v>
      </c>
      <c r="C24" s="14">
        <v>26547</v>
      </c>
      <c r="D24" s="15">
        <v>26611</v>
      </c>
      <c r="E24" s="24">
        <f t="shared" si="1"/>
        <v>53158</v>
      </c>
    </row>
    <row r="25" spans="1:6" x14ac:dyDescent="0.3">
      <c r="A25" s="10" t="s">
        <v>10</v>
      </c>
      <c r="B25" s="25">
        <v>45929</v>
      </c>
      <c r="C25" s="12">
        <v>25240</v>
      </c>
      <c r="D25" s="15">
        <v>24741</v>
      </c>
      <c r="E25" s="24">
        <f t="shared" si="1"/>
        <v>49981</v>
      </c>
    </row>
    <row r="26" spans="1:6" x14ac:dyDescent="0.3">
      <c r="A26" s="10" t="s">
        <v>14</v>
      </c>
      <c r="B26" s="25">
        <v>45930</v>
      </c>
      <c r="C26" s="12">
        <v>23830</v>
      </c>
      <c r="D26" s="15">
        <v>23911</v>
      </c>
      <c r="E26" s="24">
        <f t="shared" si="1"/>
        <v>47741</v>
      </c>
    </row>
    <row r="27" spans="1:6" x14ac:dyDescent="0.3">
      <c r="A27" s="49" t="s">
        <v>2</v>
      </c>
      <c r="B27" s="49"/>
      <c r="C27" s="27">
        <f>SUM(C5:C25)</f>
        <v>518873</v>
      </c>
      <c r="D27" s="27">
        <f>SUM(D5:D25)</f>
        <v>513894</v>
      </c>
      <c r="E27" s="27">
        <f>SUM(E5:E26)</f>
        <v>1080508</v>
      </c>
    </row>
    <row r="28" spans="1:6" x14ac:dyDescent="0.3">
      <c r="C28" s="28"/>
      <c r="D28" s="28"/>
      <c r="E28" s="28"/>
    </row>
    <row r="29" spans="1:6" x14ac:dyDescent="0.3">
      <c r="A29" s="50" t="s">
        <v>20</v>
      </c>
      <c r="B29" s="50"/>
      <c r="C29" s="50"/>
      <c r="D29" s="50"/>
      <c r="E29" s="29">
        <f>E27</f>
        <v>1080508</v>
      </c>
    </row>
    <row r="30" spans="1:6" x14ac:dyDescent="0.3">
      <c r="A30" s="50" t="s">
        <v>7</v>
      </c>
      <c r="B30" s="50"/>
      <c r="C30" s="50"/>
      <c r="D30" s="50"/>
      <c r="E30" s="29">
        <f>AVERAGE(E5:E26)</f>
        <v>49114</v>
      </c>
    </row>
    <row r="31" spans="1:6" x14ac:dyDescent="0.3">
      <c r="A31" s="51"/>
      <c r="B31" s="51"/>
      <c r="C31" s="51"/>
      <c r="D31" s="51"/>
      <c r="E31" s="52"/>
    </row>
    <row r="32" spans="1:6" x14ac:dyDescent="0.3">
      <c r="A32" s="51"/>
      <c r="B32" s="51"/>
      <c r="C32" s="51"/>
      <c r="D32" s="51"/>
      <c r="E32" s="52"/>
    </row>
    <row r="34" spans="1:5" x14ac:dyDescent="0.3">
      <c r="A34" s="47" t="s">
        <v>21</v>
      </c>
      <c r="B34" s="47"/>
      <c r="C34" s="47"/>
      <c r="D34" s="47"/>
      <c r="E34" s="47"/>
    </row>
    <row r="35" spans="1:5" x14ac:dyDescent="0.3">
      <c r="A35" s="40" t="s">
        <v>0</v>
      </c>
      <c r="B35" s="40" t="s">
        <v>1</v>
      </c>
      <c r="C35" s="42" t="s">
        <v>3</v>
      </c>
      <c r="D35" s="42" t="s">
        <v>4</v>
      </c>
      <c r="E35" s="48" t="s">
        <v>9</v>
      </c>
    </row>
    <row r="36" spans="1:5" ht="18.75" customHeight="1" x14ac:dyDescent="0.3">
      <c r="A36" s="40"/>
      <c r="B36" s="40"/>
      <c r="C36" s="42"/>
      <c r="D36" s="42"/>
      <c r="E36" s="48"/>
    </row>
    <row r="37" spans="1:5" x14ac:dyDescent="0.3">
      <c r="A37" s="10" t="s">
        <v>16</v>
      </c>
      <c r="B37" s="11">
        <v>45906</v>
      </c>
      <c r="C37" s="30">
        <v>19503</v>
      </c>
      <c r="D37" s="30">
        <v>18860</v>
      </c>
      <c r="E37" s="24">
        <f>SUM(C37:D37)</f>
        <v>38363</v>
      </c>
    </row>
    <row r="38" spans="1:5" x14ac:dyDescent="0.3">
      <c r="A38" s="10" t="s">
        <v>17</v>
      </c>
      <c r="B38" s="11">
        <v>45907</v>
      </c>
      <c r="C38" s="30">
        <v>15855</v>
      </c>
      <c r="D38" s="30">
        <v>14882</v>
      </c>
      <c r="E38" s="24">
        <f t="shared" ref="E38:E44" si="2">SUM(C38:D38)</f>
        <v>30737</v>
      </c>
    </row>
    <row r="39" spans="1:5" x14ac:dyDescent="0.3">
      <c r="A39" s="10" t="s">
        <v>16</v>
      </c>
      <c r="B39" s="11">
        <v>45913</v>
      </c>
      <c r="C39" s="30">
        <v>24842</v>
      </c>
      <c r="D39" s="30">
        <v>24115</v>
      </c>
      <c r="E39" s="24">
        <f t="shared" si="2"/>
        <v>48957</v>
      </c>
    </row>
    <row r="40" spans="1:5" x14ac:dyDescent="0.3">
      <c r="A40" s="10" t="s">
        <v>17</v>
      </c>
      <c r="B40" s="11">
        <v>45914</v>
      </c>
      <c r="C40" s="30">
        <v>21017</v>
      </c>
      <c r="D40" s="30">
        <v>19481</v>
      </c>
      <c r="E40" s="24">
        <f t="shared" si="2"/>
        <v>40498</v>
      </c>
    </row>
    <row r="41" spans="1:5" x14ac:dyDescent="0.3">
      <c r="A41" s="10" t="s">
        <v>16</v>
      </c>
      <c r="B41" s="11">
        <v>45920</v>
      </c>
      <c r="C41" s="30">
        <v>25132</v>
      </c>
      <c r="D41" s="31">
        <v>24156</v>
      </c>
      <c r="E41" s="24">
        <f t="shared" si="2"/>
        <v>49288</v>
      </c>
    </row>
    <row r="42" spans="1:5" x14ac:dyDescent="0.3">
      <c r="A42" s="10" t="s">
        <v>17</v>
      </c>
      <c r="B42" s="11">
        <v>45921</v>
      </c>
      <c r="C42" s="30">
        <v>21214</v>
      </c>
      <c r="D42" s="31">
        <v>19800</v>
      </c>
      <c r="E42" s="24">
        <f t="shared" si="2"/>
        <v>41014</v>
      </c>
    </row>
    <row r="43" spans="1:5" x14ac:dyDescent="0.3">
      <c r="A43" s="10" t="s">
        <v>16</v>
      </c>
      <c r="B43" s="11">
        <v>45927</v>
      </c>
      <c r="C43" s="30">
        <v>24385</v>
      </c>
      <c r="D43" s="30">
        <v>24337</v>
      </c>
      <c r="E43" s="24">
        <f t="shared" si="2"/>
        <v>48722</v>
      </c>
    </row>
    <row r="44" spans="1:5" x14ac:dyDescent="0.3">
      <c r="A44" s="10" t="s">
        <v>17</v>
      </c>
      <c r="B44" s="11">
        <v>45928</v>
      </c>
      <c r="C44" s="30">
        <v>22185</v>
      </c>
      <c r="D44" s="30">
        <v>20052</v>
      </c>
      <c r="E44" s="24">
        <f t="shared" si="2"/>
        <v>42237</v>
      </c>
    </row>
    <row r="45" spans="1:5" x14ac:dyDescent="0.3">
      <c r="A45" s="49" t="s">
        <v>2</v>
      </c>
      <c r="B45" s="49"/>
      <c r="C45" s="27">
        <f>SUM(C37:C44)</f>
        <v>174133</v>
      </c>
      <c r="D45" s="27">
        <f>SUM(D37:D44)</f>
        <v>165683</v>
      </c>
      <c r="E45" s="27">
        <f>SUM(E37:E44)</f>
        <v>339816</v>
      </c>
    </row>
    <row r="46" spans="1:5" x14ac:dyDescent="0.3">
      <c r="C46" s="28"/>
      <c r="D46" s="28"/>
      <c r="E46" s="28"/>
    </row>
    <row r="47" spans="1:5" ht="16.5" customHeight="1" x14ac:dyDescent="0.3">
      <c r="A47" s="50" t="s">
        <v>22</v>
      </c>
      <c r="B47" s="50"/>
      <c r="C47" s="50"/>
      <c r="D47" s="50"/>
      <c r="E47" s="32">
        <f>E45</f>
        <v>339816</v>
      </c>
    </row>
    <row r="48" spans="1:5" x14ac:dyDescent="0.3">
      <c r="A48" s="33"/>
      <c r="B48" s="33"/>
      <c r="C48" s="33"/>
      <c r="D48" s="33"/>
      <c r="E48" s="33"/>
    </row>
    <row r="49" spans="1:5" ht="14.25" customHeight="1" x14ac:dyDescent="0.3">
      <c r="A49" s="50" t="s">
        <v>5</v>
      </c>
      <c r="B49" s="50"/>
      <c r="C49" s="50"/>
      <c r="D49" s="50"/>
      <c r="E49" s="32">
        <f xml:space="preserve"> AVERAGE(E37, E39, E41, E43)</f>
        <v>46332.5</v>
      </c>
    </row>
    <row r="50" spans="1:5" x14ac:dyDescent="0.3">
      <c r="A50" s="50" t="s">
        <v>6</v>
      </c>
      <c r="B50" s="50"/>
      <c r="C50" s="50"/>
      <c r="D50" s="50"/>
      <c r="E50" s="32">
        <f xml:space="preserve"> AVERAGE(E38,E40,E42,E44,H48)</f>
        <v>38621.5</v>
      </c>
    </row>
  </sheetData>
  <mergeCells count="19">
    <mergeCell ref="A45:B45"/>
    <mergeCell ref="A47:D47"/>
    <mergeCell ref="A49:D49"/>
    <mergeCell ref="A50:D50"/>
    <mergeCell ref="A27:B27"/>
    <mergeCell ref="A29:D29"/>
    <mergeCell ref="A30:D30"/>
    <mergeCell ref="A34:E34"/>
    <mergeCell ref="A35:A36"/>
    <mergeCell ref="B35:B36"/>
    <mergeCell ref="C35:C36"/>
    <mergeCell ref="D35:D36"/>
    <mergeCell ref="E35:E36"/>
    <mergeCell ref="A2:E2"/>
    <mergeCell ref="A3:A4"/>
    <mergeCell ref="B3:B4"/>
    <mergeCell ref="C3:C4"/>
    <mergeCell ref="D3:D4"/>
    <mergeCell ref="E3:E4"/>
  </mergeCells>
  <phoneticPr fontId="5" type="noConversion"/>
  <printOptions horizontalCentered="1"/>
  <pageMargins left="0.75" right="0.75" top="1" bottom="1" header="0.5" footer="0.5"/>
  <pageSetup orientation="portrait" r:id="rId1"/>
  <headerFooter alignWithMargins="0">
    <oddFooter>Page &amp;P of &amp;N</oddFooter>
  </headerFooter>
  <ignoredErrors>
    <ignoredError sqref="E5:E1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10" ma:contentTypeDescription="Create a new document." ma:contentTypeScope="" ma:versionID="d5e8cfcf6eb2dd5d2db3c0c620d248eb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d03289d0b41cd5157412eb94182a3401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878D5A-AF1C-4D1C-9A72-1CC1DA12F8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A7BE50-D742-4ACA-B0F4-ED341392C3F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2E7EC28-11BF-46B6-BF4D-23879B0B1D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tabbott</dc:creator>
  <cp:lastModifiedBy>Lucy Santana</cp:lastModifiedBy>
  <cp:lastPrinted>2023-10-03T15:47:13Z</cp:lastPrinted>
  <dcterms:created xsi:type="dcterms:W3CDTF">2006-12-14T13:28:56Z</dcterms:created>
  <dcterms:modified xsi:type="dcterms:W3CDTF">2026-04-09T23:46:21Z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