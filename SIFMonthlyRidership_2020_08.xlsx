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1" documentId="8_{111722B4-07EC-432B-A55D-E701C6E39879}" xr6:coauthVersionLast="47" xr6:coauthVersionMax="47" xr10:uidLastSave="{C09118C4-A8D3-4A19-B16B-4152735BA0BC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6" i="1"/>
  <c r="F37" i="2"/>
  <c r="F38" i="2"/>
  <c r="F39" i="2"/>
  <c r="F40" i="2"/>
  <c r="F41" i="2"/>
  <c r="F42" i="2"/>
  <c r="F43" i="2"/>
  <c r="F44" i="2"/>
  <c r="F45" i="2"/>
  <c r="F36" i="2"/>
  <c r="F2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4" i="2"/>
  <c r="C37" i="1" l="1"/>
  <c r="D37" i="1"/>
  <c r="E10" i="2"/>
  <c r="E41" i="2"/>
  <c r="D46" i="2"/>
  <c r="C46" i="2"/>
  <c r="E36" i="2"/>
  <c r="E44" i="2"/>
  <c r="E45" i="2"/>
  <c r="E4" i="2"/>
  <c r="A44" i="2"/>
  <c r="A45" i="2"/>
  <c r="E43" i="2"/>
  <c r="A43" i="2"/>
  <c r="E42" i="2"/>
  <c r="A42" i="2"/>
  <c r="A41" i="2"/>
  <c r="E40" i="2"/>
  <c r="A40" i="2"/>
  <c r="E39" i="2"/>
  <c r="A39" i="2"/>
  <c r="E38" i="2"/>
  <c r="A38" i="2"/>
  <c r="E37" i="2"/>
  <c r="A37" i="2"/>
  <c r="A36" i="2"/>
  <c r="D25" i="2"/>
  <c r="C25" i="2"/>
  <c r="E24" i="2"/>
  <c r="A24" i="2"/>
  <c r="E23" i="2"/>
  <c r="A23" i="2"/>
  <c r="E22" i="2"/>
  <c r="A22" i="2"/>
  <c r="E21" i="2"/>
  <c r="A21" i="2"/>
  <c r="E20" i="2"/>
  <c r="A20" i="2"/>
  <c r="E19" i="2"/>
  <c r="A19" i="2"/>
  <c r="E18" i="2"/>
  <c r="A18" i="2"/>
  <c r="E17" i="2"/>
  <c r="A17" i="2"/>
  <c r="E16" i="2"/>
  <c r="A16" i="2"/>
  <c r="E15" i="2"/>
  <c r="A15" i="2"/>
  <c r="E14" i="2"/>
  <c r="A14" i="2"/>
  <c r="E13" i="2"/>
  <c r="A13" i="2"/>
  <c r="E12" i="2"/>
  <c r="A12" i="2"/>
  <c r="E11" i="2"/>
  <c r="A11" i="2"/>
  <c r="A10" i="2"/>
  <c r="E9" i="2"/>
  <c r="A9" i="2"/>
  <c r="E8" i="2"/>
  <c r="A8" i="2"/>
  <c r="E7" i="2"/>
  <c r="A7" i="2"/>
  <c r="E6" i="2"/>
  <c r="A6" i="2"/>
  <c r="E5" i="2"/>
  <c r="A5" i="2"/>
  <c r="A4" i="2"/>
  <c r="E36" i="1"/>
  <c r="A36" i="1"/>
  <c r="E35" i="1"/>
  <c r="A35" i="1"/>
  <c r="E34" i="1"/>
  <c r="A34" i="1"/>
  <c r="E33" i="1"/>
  <c r="A33" i="1"/>
  <c r="E32" i="1"/>
  <c r="A32" i="1"/>
  <c r="E31" i="1"/>
  <c r="A31" i="1"/>
  <c r="E30" i="1"/>
  <c r="A30" i="1"/>
  <c r="E29" i="1"/>
  <c r="A29" i="1"/>
  <c r="E28" i="1"/>
  <c r="A28" i="1"/>
  <c r="E27" i="1"/>
  <c r="A27" i="1"/>
  <c r="E26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E17" i="1"/>
  <c r="A17" i="1"/>
  <c r="E16" i="1"/>
  <c r="A16" i="1"/>
  <c r="E15" i="1"/>
  <c r="A15" i="1"/>
  <c r="E14" i="1"/>
  <c r="A14" i="1"/>
  <c r="E13" i="1"/>
  <c r="A13" i="1"/>
  <c r="E12" i="1"/>
  <c r="A12" i="1"/>
  <c r="E11" i="1"/>
  <c r="A11" i="1"/>
  <c r="E10" i="1"/>
  <c r="A10" i="1"/>
  <c r="E9" i="1"/>
  <c r="A9" i="1"/>
  <c r="E8" i="1"/>
  <c r="A8" i="1"/>
  <c r="E7" i="1"/>
  <c r="A7" i="1"/>
  <c r="E6" i="1"/>
  <c r="E37" i="1" s="1"/>
  <c r="E41" i="1" s="1"/>
  <c r="A6" i="1"/>
  <c r="E25" i="2" l="1"/>
  <c r="E27" i="2" s="1"/>
  <c r="E28" i="2"/>
  <c r="E48" i="2"/>
  <c r="E46" i="2"/>
  <c r="E49" i="2"/>
</calcChain>
</file>

<file path=xl/sharedStrings.xml><?xml version="1.0" encoding="utf-8"?>
<sst xmlns="http://schemas.openxmlformats.org/spreadsheetml/2006/main" count="27" uniqueCount="15">
  <si>
    <t>DAY</t>
  </si>
  <si>
    <t>DATE</t>
  </si>
  <si>
    <t>WHT</t>
  </si>
  <si>
    <t>STG</t>
  </si>
  <si>
    <t>COMBINED TOTAL</t>
  </si>
  <si>
    <t>TOTALS:</t>
  </si>
  <si>
    <t>TOTAL RIDERHIP</t>
  </si>
  <si>
    <t>TOTAL</t>
  </si>
  <si>
    <t>Average Passengers/Weekday</t>
  </si>
  <si>
    <t>Average Saturday Passengers</t>
  </si>
  <si>
    <t>Average Sunday Passengers</t>
  </si>
  <si>
    <t>AUGUST 2020 WEEKDAY TOTALS</t>
  </si>
  <si>
    <t>Total Weekday Pax Count August 2020</t>
  </si>
  <si>
    <t>AUGUST 2020 WEEKEND TOTALS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</si>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</sst>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14" fontId="1" fillId="4" borderId="5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" fontId="3" fillId="4" borderId="9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14" fontId="0" fillId="0" borderId="0" xfId="0" applyNumberFormat="1"/>
    <xf numFmtId="17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42"/>
  <sheetViews>
    <sheetView tabSelected="1" workbookViewId="0">
      <selection activeCell="A5" sqref="A5"/>
    </sheetView>
  </sheetViews>
  <sheetFormatPr defaultColWidth="13.33203125" defaultRowHeight="14.4" x14ac:dyDescent="0.3"/>
  <cols>
    <col min="6" max="6" width="13.33203125" hidden="1" customWidth="1"/>
  </cols>
  <sheetData>
    <row r="3" spans="1:6" ht="15" thickBot="1" x14ac:dyDescent="0.35">
      <c r="A3" s="2"/>
      <c r="B3" s="2"/>
      <c r="C3" s="2"/>
      <c r="D3" s="2"/>
      <c r="E3" s="2"/>
      <c r="F3" s="1"/>
    </row>
    <row r="4" spans="1:6" x14ac:dyDescent="0.3">
      <c r="A4" s="27">
        <v>44044</v>
      </c>
      <c r="B4" s="28"/>
      <c r="C4" s="28"/>
      <c r="D4" s="28"/>
      <c r="E4" s="29"/>
      <c r="F4" s="1"/>
    </row>
    <row r="5" spans="1:6" ht="27.6" x14ac:dyDescent="0.3">
      <c r="A5" s="3" t="s">
        <v>0</v>
      </c>
      <c r="B5" s="4" t="s">
        <v>1</v>
      </c>
      <c r="C5" s="4" t="s">
        <v>2</v>
      </c>
      <c r="D5" s="4" t="s">
        <v>3</v>
      </c>
      <c r="E5" s="5" t="s">
        <v>4</v>
      </c>
      <c r="F5" s="1" t="s">
        <v>14</v>
      </c>
    </row>
    <row r="6" spans="1:6" x14ac:dyDescent="0.3">
      <c r="A6" s="6" t="str">
        <f>CHOOSE(WEEKDAY(B6),"SUN","MON","TUE","WED","THU","FRI","SAT")</f>
        <v>SAT</v>
      </c>
      <c r="B6" s="7">
        <v>44044</v>
      </c>
      <c r="C6" s="8">
        <v>9285</v>
      </c>
      <c r="D6" s="8">
        <v>8644</v>
      </c>
      <c r="E6" s="9">
        <f>SUM(C6:D6)</f>
        <v>17929</v>
      </c>
      <c r="F6" s="13">
        <f>C6-D6</f>
        <v>641</v>
      </c>
    </row>
    <row r="7" spans="1:6" x14ac:dyDescent="0.3">
      <c r="A7" s="6" t="str">
        <f t="shared" ref="A7:A36" si="0">CHOOSE(WEEKDAY(B7),"SUN","MON","TUE","WED","THU","FRI","SAT")</f>
        <v>SUN</v>
      </c>
      <c r="B7" s="7">
        <v>44045</v>
      </c>
      <c r="C7" s="8">
        <v>6943</v>
      </c>
      <c r="D7" s="8">
        <v>6459</v>
      </c>
      <c r="E7" s="9">
        <f t="shared" ref="E7:E36" si="1">SUM(C7:D7)</f>
        <v>13402</v>
      </c>
      <c r="F7" s="13">
        <f t="shared" ref="F7:F36" si="2">C7-D7</f>
        <v>484</v>
      </c>
    </row>
    <row r="8" spans="1:6" x14ac:dyDescent="0.3">
      <c r="A8" s="6" t="str">
        <f t="shared" si="0"/>
        <v>MON</v>
      </c>
      <c r="B8" s="7">
        <v>44046</v>
      </c>
      <c r="C8" s="8">
        <v>10656</v>
      </c>
      <c r="D8" s="8">
        <v>10146</v>
      </c>
      <c r="E8" s="9">
        <f t="shared" si="1"/>
        <v>20802</v>
      </c>
      <c r="F8" s="13">
        <f t="shared" si="2"/>
        <v>510</v>
      </c>
    </row>
    <row r="9" spans="1:6" x14ac:dyDescent="0.3">
      <c r="A9" s="6" t="str">
        <f t="shared" si="0"/>
        <v>TUE</v>
      </c>
      <c r="B9" s="7">
        <v>44047</v>
      </c>
      <c r="C9" s="8">
        <v>6639</v>
      </c>
      <c r="D9" s="8">
        <v>6679</v>
      </c>
      <c r="E9" s="9">
        <f t="shared" si="1"/>
        <v>13318</v>
      </c>
      <c r="F9" s="13">
        <f t="shared" si="2"/>
        <v>-40</v>
      </c>
    </row>
    <row r="10" spans="1:6" x14ac:dyDescent="0.3">
      <c r="A10" s="6" t="str">
        <f t="shared" si="0"/>
        <v>WED</v>
      </c>
      <c r="B10" s="7">
        <v>44048</v>
      </c>
      <c r="C10" s="8">
        <v>11116</v>
      </c>
      <c r="D10" s="8">
        <v>10529</v>
      </c>
      <c r="E10" s="9">
        <f t="shared" si="1"/>
        <v>21645</v>
      </c>
      <c r="F10" s="13">
        <f t="shared" si="2"/>
        <v>587</v>
      </c>
    </row>
    <row r="11" spans="1:6" x14ac:dyDescent="0.3">
      <c r="A11" s="6" t="str">
        <f t="shared" si="0"/>
        <v>THU</v>
      </c>
      <c r="B11" s="7">
        <v>44049</v>
      </c>
      <c r="C11" s="8">
        <v>11088</v>
      </c>
      <c r="D11" s="8">
        <v>10299</v>
      </c>
      <c r="E11" s="9">
        <f t="shared" si="1"/>
        <v>21387</v>
      </c>
      <c r="F11" s="13">
        <f t="shared" si="2"/>
        <v>789</v>
      </c>
    </row>
    <row r="12" spans="1:6" x14ac:dyDescent="0.3">
      <c r="A12" s="6" t="str">
        <f t="shared" si="0"/>
        <v>FRI</v>
      </c>
      <c r="B12" s="7">
        <v>44050</v>
      </c>
      <c r="C12" s="8">
        <v>9992</v>
      </c>
      <c r="D12" s="8">
        <v>10065</v>
      </c>
      <c r="E12" s="9">
        <f t="shared" si="1"/>
        <v>20057</v>
      </c>
      <c r="F12" s="13">
        <f t="shared" si="2"/>
        <v>-73</v>
      </c>
    </row>
    <row r="13" spans="1:6" x14ac:dyDescent="0.3">
      <c r="A13" s="6" t="str">
        <f t="shared" si="0"/>
        <v>SAT</v>
      </c>
      <c r="B13" s="7">
        <v>44051</v>
      </c>
      <c r="C13" s="8">
        <v>6975</v>
      </c>
      <c r="D13" s="8">
        <v>8149</v>
      </c>
      <c r="E13" s="9">
        <f t="shared" si="1"/>
        <v>15124</v>
      </c>
      <c r="F13" s="13">
        <f t="shared" si="2"/>
        <v>-1174</v>
      </c>
    </row>
    <row r="14" spans="1:6" x14ac:dyDescent="0.3">
      <c r="A14" s="6" t="str">
        <f t="shared" si="0"/>
        <v>SUN</v>
      </c>
      <c r="B14" s="7">
        <v>44052</v>
      </c>
      <c r="C14" s="8">
        <v>6877</v>
      </c>
      <c r="D14" s="8">
        <v>7367</v>
      </c>
      <c r="E14" s="9">
        <f t="shared" si="1"/>
        <v>14244</v>
      </c>
      <c r="F14" s="13">
        <f t="shared" si="2"/>
        <v>-490</v>
      </c>
    </row>
    <row r="15" spans="1:6" x14ac:dyDescent="0.3">
      <c r="A15" s="6" t="str">
        <f t="shared" si="0"/>
        <v>MON</v>
      </c>
      <c r="B15" s="7">
        <v>44053</v>
      </c>
      <c r="C15" s="8">
        <v>9124</v>
      </c>
      <c r="D15" s="8">
        <v>10515</v>
      </c>
      <c r="E15" s="9">
        <f t="shared" si="1"/>
        <v>19639</v>
      </c>
      <c r="F15" s="13">
        <f t="shared" si="2"/>
        <v>-1391</v>
      </c>
    </row>
    <row r="16" spans="1:6" x14ac:dyDescent="0.3">
      <c r="A16" s="6" t="str">
        <f t="shared" si="0"/>
        <v>TUE</v>
      </c>
      <c r="B16" s="7">
        <v>44054</v>
      </c>
      <c r="C16" s="8">
        <v>8995</v>
      </c>
      <c r="D16" s="8">
        <v>10354</v>
      </c>
      <c r="E16" s="9">
        <f t="shared" si="1"/>
        <v>19349</v>
      </c>
      <c r="F16" s="13">
        <f t="shared" si="2"/>
        <v>-1359</v>
      </c>
    </row>
    <row r="17" spans="1:6" x14ac:dyDescent="0.3">
      <c r="A17" s="6" t="str">
        <f t="shared" si="0"/>
        <v>WED</v>
      </c>
      <c r="B17" s="7">
        <v>44055</v>
      </c>
      <c r="C17" s="8">
        <v>8533</v>
      </c>
      <c r="D17" s="8">
        <v>9884</v>
      </c>
      <c r="E17" s="9">
        <f t="shared" si="1"/>
        <v>18417</v>
      </c>
      <c r="F17" s="13">
        <f t="shared" si="2"/>
        <v>-1351</v>
      </c>
    </row>
    <row r="18" spans="1:6" x14ac:dyDescent="0.3">
      <c r="A18" s="6" t="str">
        <f t="shared" si="0"/>
        <v>THU</v>
      </c>
      <c r="B18" s="7">
        <v>44056</v>
      </c>
      <c r="C18" s="8">
        <v>8728</v>
      </c>
      <c r="D18" s="8">
        <v>9539</v>
      </c>
      <c r="E18" s="9">
        <f t="shared" si="1"/>
        <v>18267</v>
      </c>
      <c r="F18" s="13">
        <f t="shared" si="2"/>
        <v>-811</v>
      </c>
    </row>
    <row r="19" spans="1:6" x14ac:dyDescent="0.3">
      <c r="A19" s="6" t="str">
        <f t="shared" si="0"/>
        <v>FRI</v>
      </c>
      <c r="B19" s="7">
        <v>44057</v>
      </c>
      <c r="C19" s="8">
        <v>11336</v>
      </c>
      <c r="D19" s="8">
        <v>10915</v>
      </c>
      <c r="E19" s="9">
        <f t="shared" si="1"/>
        <v>22251</v>
      </c>
      <c r="F19" s="13">
        <f t="shared" si="2"/>
        <v>421</v>
      </c>
    </row>
    <row r="20" spans="1:6" x14ac:dyDescent="0.3">
      <c r="A20" s="6" t="str">
        <f t="shared" si="0"/>
        <v>SAT</v>
      </c>
      <c r="B20" s="7">
        <v>44058</v>
      </c>
      <c r="C20" s="8">
        <v>9501</v>
      </c>
      <c r="D20" s="8">
        <v>7860</v>
      </c>
      <c r="E20" s="9">
        <f t="shared" si="1"/>
        <v>17361</v>
      </c>
      <c r="F20" s="13">
        <f t="shared" si="2"/>
        <v>1641</v>
      </c>
    </row>
    <row r="21" spans="1:6" x14ac:dyDescent="0.3">
      <c r="A21" s="6" t="str">
        <f t="shared" si="0"/>
        <v>SUN</v>
      </c>
      <c r="B21" s="7">
        <v>44059</v>
      </c>
      <c r="C21" s="8">
        <v>5816</v>
      </c>
      <c r="D21" s="8">
        <v>5364</v>
      </c>
      <c r="E21" s="9">
        <f t="shared" si="1"/>
        <v>11180</v>
      </c>
      <c r="F21" s="13">
        <f t="shared" si="2"/>
        <v>452</v>
      </c>
    </row>
    <row r="22" spans="1:6" x14ac:dyDescent="0.3">
      <c r="A22" s="6" t="str">
        <f t="shared" si="0"/>
        <v>MON</v>
      </c>
      <c r="B22" s="7">
        <v>44060</v>
      </c>
      <c r="C22" s="8">
        <v>11244</v>
      </c>
      <c r="D22" s="8">
        <v>9698</v>
      </c>
      <c r="E22" s="9">
        <f t="shared" si="1"/>
        <v>20942</v>
      </c>
      <c r="F22" s="13">
        <f t="shared" si="2"/>
        <v>1546</v>
      </c>
    </row>
    <row r="23" spans="1:6" x14ac:dyDescent="0.3">
      <c r="A23" s="6" t="str">
        <f t="shared" si="0"/>
        <v>TUE</v>
      </c>
      <c r="B23" s="7">
        <v>44061</v>
      </c>
      <c r="C23" s="8">
        <v>11698</v>
      </c>
      <c r="D23" s="8">
        <v>10391</v>
      </c>
      <c r="E23" s="9">
        <f t="shared" si="1"/>
        <v>22089</v>
      </c>
      <c r="F23" s="13">
        <f t="shared" si="2"/>
        <v>1307</v>
      </c>
    </row>
    <row r="24" spans="1:6" x14ac:dyDescent="0.3">
      <c r="A24" s="6" t="str">
        <f t="shared" si="0"/>
        <v>WED</v>
      </c>
      <c r="B24" s="7">
        <v>44062</v>
      </c>
      <c r="C24" s="8">
        <v>10536</v>
      </c>
      <c r="D24" s="8">
        <v>11162</v>
      </c>
      <c r="E24" s="9">
        <f t="shared" si="1"/>
        <v>21698</v>
      </c>
      <c r="F24" s="13">
        <f t="shared" si="2"/>
        <v>-626</v>
      </c>
    </row>
    <row r="25" spans="1:6" x14ac:dyDescent="0.3">
      <c r="A25" s="6" t="str">
        <f t="shared" si="0"/>
        <v>THU</v>
      </c>
      <c r="B25" s="7">
        <v>44063</v>
      </c>
      <c r="C25" s="8">
        <v>13069</v>
      </c>
      <c r="D25" s="8">
        <v>10323</v>
      </c>
      <c r="E25" s="9">
        <f t="shared" si="1"/>
        <v>23392</v>
      </c>
      <c r="F25" s="13">
        <f t="shared" si="2"/>
        <v>2746</v>
      </c>
    </row>
    <row r="26" spans="1:6" x14ac:dyDescent="0.3">
      <c r="A26" s="6" t="str">
        <f t="shared" si="0"/>
        <v>FRI</v>
      </c>
      <c r="B26" s="7">
        <v>44064</v>
      </c>
      <c r="C26" s="8">
        <v>12657</v>
      </c>
      <c r="D26" s="8">
        <v>11149</v>
      </c>
      <c r="E26" s="9">
        <f t="shared" si="1"/>
        <v>23806</v>
      </c>
      <c r="F26" s="13">
        <f t="shared" si="2"/>
        <v>1508</v>
      </c>
    </row>
    <row r="27" spans="1:6" x14ac:dyDescent="0.3">
      <c r="A27" s="6" t="str">
        <f t="shared" si="0"/>
        <v>SAT</v>
      </c>
      <c r="B27" s="7">
        <v>44065</v>
      </c>
      <c r="C27" s="8">
        <v>10300</v>
      </c>
      <c r="D27" s="8">
        <v>8210</v>
      </c>
      <c r="E27" s="9">
        <f t="shared" si="1"/>
        <v>18510</v>
      </c>
      <c r="F27" s="13">
        <f t="shared" si="2"/>
        <v>2090</v>
      </c>
    </row>
    <row r="28" spans="1:6" x14ac:dyDescent="0.3">
      <c r="A28" s="6" t="str">
        <f t="shared" si="0"/>
        <v>SUN</v>
      </c>
      <c r="B28" s="7">
        <v>44066</v>
      </c>
      <c r="C28" s="8">
        <v>9105</v>
      </c>
      <c r="D28" s="8">
        <v>6610</v>
      </c>
      <c r="E28" s="9">
        <f t="shared" si="1"/>
        <v>15715</v>
      </c>
      <c r="F28" s="13">
        <f t="shared" si="2"/>
        <v>2495</v>
      </c>
    </row>
    <row r="29" spans="1:6" x14ac:dyDescent="0.3">
      <c r="A29" s="6" t="str">
        <f t="shared" si="0"/>
        <v>MON</v>
      </c>
      <c r="B29" s="7">
        <v>44067</v>
      </c>
      <c r="C29" s="8">
        <v>13231</v>
      </c>
      <c r="D29" s="8">
        <v>10401</v>
      </c>
      <c r="E29" s="9">
        <f t="shared" si="1"/>
        <v>23632</v>
      </c>
      <c r="F29" s="13">
        <f t="shared" si="2"/>
        <v>2830</v>
      </c>
    </row>
    <row r="30" spans="1:6" x14ac:dyDescent="0.3">
      <c r="A30" s="6" t="str">
        <f t="shared" si="0"/>
        <v>TUE</v>
      </c>
      <c r="B30" s="7">
        <v>44068</v>
      </c>
      <c r="C30" s="8">
        <v>10806</v>
      </c>
      <c r="D30" s="8">
        <v>9609</v>
      </c>
      <c r="E30" s="9">
        <f t="shared" si="1"/>
        <v>20415</v>
      </c>
      <c r="F30" s="13">
        <f t="shared" si="2"/>
        <v>1197</v>
      </c>
    </row>
    <row r="31" spans="1:6" x14ac:dyDescent="0.3">
      <c r="A31" s="6" t="str">
        <f t="shared" si="0"/>
        <v>WED</v>
      </c>
      <c r="B31" s="7">
        <v>44069</v>
      </c>
      <c r="C31" s="8">
        <v>11502</v>
      </c>
      <c r="D31" s="8">
        <v>11351</v>
      </c>
      <c r="E31" s="9">
        <f t="shared" si="1"/>
        <v>22853</v>
      </c>
      <c r="F31" s="13">
        <f t="shared" si="2"/>
        <v>151</v>
      </c>
    </row>
    <row r="32" spans="1:6" x14ac:dyDescent="0.3">
      <c r="A32" s="6" t="str">
        <f t="shared" si="0"/>
        <v>THU</v>
      </c>
      <c r="B32" s="7">
        <v>44070</v>
      </c>
      <c r="C32" s="8">
        <v>10663</v>
      </c>
      <c r="D32" s="8">
        <v>10545</v>
      </c>
      <c r="E32" s="9">
        <f t="shared" si="1"/>
        <v>21208</v>
      </c>
      <c r="F32" s="13">
        <f t="shared" si="2"/>
        <v>118</v>
      </c>
    </row>
    <row r="33" spans="1:6" x14ac:dyDescent="0.3">
      <c r="A33" s="6" t="str">
        <f t="shared" si="0"/>
        <v>FRI</v>
      </c>
      <c r="B33" s="7">
        <v>44071</v>
      </c>
      <c r="C33" s="8">
        <v>10968</v>
      </c>
      <c r="D33" s="8">
        <v>10965</v>
      </c>
      <c r="E33" s="9">
        <f t="shared" si="1"/>
        <v>21933</v>
      </c>
      <c r="F33" s="13">
        <f t="shared" si="2"/>
        <v>3</v>
      </c>
    </row>
    <row r="34" spans="1:6" x14ac:dyDescent="0.3">
      <c r="A34" s="6" t="str">
        <f t="shared" si="0"/>
        <v>SAT</v>
      </c>
      <c r="B34" s="7">
        <v>44072</v>
      </c>
      <c r="C34" s="8">
        <v>7201</v>
      </c>
      <c r="D34" s="8">
        <v>6940</v>
      </c>
      <c r="E34" s="9">
        <f t="shared" si="1"/>
        <v>14141</v>
      </c>
      <c r="F34" s="13">
        <f t="shared" si="2"/>
        <v>261</v>
      </c>
    </row>
    <row r="35" spans="1:6" x14ac:dyDescent="0.3">
      <c r="A35" s="6" t="str">
        <f t="shared" si="0"/>
        <v>SUN</v>
      </c>
      <c r="B35" s="7">
        <v>44073</v>
      </c>
      <c r="C35" s="8">
        <v>8908</v>
      </c>
      <c r="D35" s="8">
        <v>8719</v>
      </c>
      <c r="E35" s="9">
        <f t="shared" si="1"/>
        <v>17627</v>
      </c>
      <c r="F35" s="13">
        <f t="shared" si="2"/>
        <v>189</v>
      </c>
    </row>
    <row r="36" spans="1:6" x14ac:dyDescent="0.3">
      <c r="A36" s="6" t="str">
        <f t="shared" si="0"/>
        <v>MON</v>
      </c>
      <c r="B36" s="7">
        <v>44074</v>
      </c>
      <c r="C36" s="8">
        <v>10658</v>
      </c>
      <c r="D36" s="8">
        <v>10441</v>
      </c>
      <c r="E36" s="9">
        <f t="shared" si="1"/>
        <v>21099</v>
      </c>
      <c r="F36" s="13">
        <f t="shared" si="2"/>
        <v>217</v>
      </c>
    </row>
    <row r="37" spans="1:6" ht="15" thickBot="1" x14ac:dyDescent="0.35">
      <c r="A37" s="30" t="s">
        <v>5</v>
      </c>
      <c r="B37" s="31"/>
      <c r="C37" s="10">
        <f>SUM(C6:C36)</f>
        <v>304150</v>
      </c>
      <c r="D37" s="10">
        <f>SUM(D6:D36)</f>
        <v>289282</v>
      </c>
      <c r="E37" s="11">
        <f>SUM(E6:E36)</f>
        <v>593432</v>
      </c>
      <c r="F37" s="1"/>
    </row>
    <row r="38" spans="1:6" x14ac:dyDescent="0.3">
      <c r="A38" s="2"/>
      <c r="B38" s="2"/>
      <c r="C38" s="2"/>
      <c r="D38" s="2"/>
      <c r="E38" s="2"/>
      <c r="F38" s="1"/>
    </row>
    <row r="39" spans="1:6" x14ac:dyDescent="0.3">
      <c r="A39" s="2"/>
      <c r="B39" s="2"/>
      <c r="C39" s="2"/>
      <c r="D39" s="2"/>
      <c r="E39" s="2"/>
      <c r="F39" s="1"/>
    </row>
    <row r="40" spans="1:6" ht="15" thickBot="1" x14ac:dyDescent="0.35">
      <c r="A40" s="2"/>
      <c r="B40" s="2"/>
      <c r="C40" s="2"/>
      <c r="D40" s="2"/>
      <c r="E40" s="2"/>
      <c r="F40" s="1"/>
    </row>
    <row r="41" spans="1:6" ht="15" thickBot="1" x14ac:dyDescent="0.35">
      <c r="A41" s="32" t="s">
        <v>6</v>
      </c>
      <c r="B41" s="33"/>
      <c r="C41" s="33"/>
      <c r="D41" s="34"/>
      <c r="E41" s="12">
        <f>E37</f>
        <v>593432</v>
      </c>
      <c r="F41" s="1"/>
    </row>
    <row r="42" spans="1:6" x14ac:dyDescent="0.3">
      <c r="A42" s="2"/>
      <c r="B42" s="2"/>
      <c r="C42" s="2"/>
      <c r="D42" s="2"/>
      <c r="E42" s="2"/>
      <c r="F42" s="1"/>
    </row>
  </sheetData>
  <mergeCells count="3">
    <mergeCell ref="A4:E4"/>
    <mergeCell ref="A37:B37"/>
    <mergeCell ref="A41:D41"/>
  </mergeCells>
  <pageMargins left="0.7" right="0.7" top="0.75" bottom="0.75" header="0.3" footer="0.3"/>
  <pageSetup orientation="portrait" r:id="rId1"/>
  <ignoredErrors>
    <ignoredError sqref="E6:E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"/>
  <sheetViews>
    <sheetView workbookViewId="0"/>
  </sheetViews>
  <sheetFormatPr defaultColWidth="13.33203125" defaultRowHeight="14.4" x14ac:dyDescent="0.3"/>
  <cols>
    <col min="5" max="5" width="12.6640625" bestFit="1" customWidth="1"/>
    <col min="6" max="6" width="12.109375" hidden="1" customWidth="1"/>
  </cols>
  <sheetData>
    <row r="1" spans="1:9" ht="15" thickBot="1" x14ac:dyDescent="0.35">
      <c r="A1" s="13"/>
      <c r="B1" s="13"/>
      <c r="C1" s="13"/>
      <c r="D1" s="13"/>
      <c r="E1" s="13"/>
      <c r="F1" s="13"/>
    </row>
    <row r="2" spans="1:9" x14ac:dyDescent="0.3">
      <c r="A2" s="39" t="s">
        <v>11</v>
      </c>
      <c r="B2" s="40"/>
      <c r="C2" s="40"/>
      <c r="D2" s="40"/>
      <c r="E2" s="41"/>
      <c r="F2" s="13"/>
    </row>
    <row r="3" spans="1:9" ht="27.6" x14ac:dyDescent="0.3">
      <c r="A3" s="3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2" t="s">
        <v>14</v>
      </c>
    </row>
    <row r="4" spans="1:9" x14ac:dyDescent="0.3">
      <c r="A4" s="14" t="str">
        <f>CHOOSE(WEEKDAY(B4),"SUN","MON","TUE","WED","THU","FRI","SAT")</f>
        <v>MON</v>
      </c>
      <c r="B4" s="15">
        <v>44046</v>
      </c>
      <c r="C4" s="8">
        <v>10656</v>
      </c>
      <c r="D4" s="8">
        <v>10146</v>
      </c>
      <c r="E4" s="16">
        <f>SUM(C4:D4)</f>
        <v>20802</v>
      </c>
      <c r="F4" s="13">
        <f>C4-D4</f>
        <v>510</v>
      </c>
      <c r="H4" s="13"/>
      <c r="I4" s="26"/>
    </row>
    <row r="5" spans="1:9" x14ac:dyDescent="0.3">
      <c r="A5" s="14" t="str">
        <f>CHOOSE(WEEKDAY(B5),"SUN","MON","TUE","WED","THU","FRI","SAT")</f>
        <v>TUE</v>
      </c>
      <c r="B5" s="15">
        <v>44047</v>
      </c>
      <c r="C5" s="8">
        <v>6639</v>
      </c>
      <c r="D5" s="8">
        <v>6679</v>
      </c>
      <c r="E5" s="16">
        <f t="shared" ref="E5:E24" si="0">SUM(C5:D5)</f>
        <v>13318</v>
      </c>
      <c r="F5" s="13">
        <f t="shared" ref="F5:F23" si="1">C5-D5</f>
        <v>-40</v>
      </c>
      <c r="H5" s="13"/>
      <c r="I5" s="26"/>
    </row>
    <row r="6" spans="1:9" x14ac:dyDescent="0.3">
      <c r="A6" s="14" t="str">
        <f>CHOOSE(WEEKDAY(B6),"SUN","MON","TUE","WED","THU","FRI","SAT")</f>
        <v>WED</v>
      </c>
      <c r="B6" s="15">
        <v>44048</v>
      </c>
      <c r="C6" s="8">
        <v>11116</v>
      </c>
      <c r="D6" s="8">
        <v>10529</v>
      </c>
      <c r="E6" s="16">
        <f t="shared" si="0"/>
        <v>21645</v>
      </c>
      <c r="F6" s="13">
        <f t="shared" si="1"/>
        <v>587</v>
      </c>
      <c r="H6" s="13"/>
      <c r="I6" s="26"/>
    </row>
    <row r="7" spans="1:9" x14ac:dyDescent="0.3">
      <c r="A7" s="14" t="str">
        <f t="shared" ref="A7:A24" si="2">CHOOSE(WEEKDAY(B7),"SUN","MON","TUE","WED","THU","FRI","SAT")</f>
        <v>THU</v>
      </c>
      <c r="B7" s="15">
        <v>44049</v>
      </c>
      <c r="C7" s="8">
        <v>11088</v>
      </c>
      <c r="D7" s="8">
        <v>10299</v>
      </c>
      <c r="E7" s="16">
        <f t="shared" si="0"/>
        <v>21387</v>
      </c>
      <c r="F7" s="13">
        <f t="shared" si="1"/>
        <v>789</v>
      </c>
      <c r="H7" s="13"/>
      <c r="I7" s="26"/>
    </row>
    <row r="8" spans="1:9" x14ac:dyDescent="0.3">
      <c r="A8" s="14" t="str">
        <f t="shared" si="2"/>
        <v>FRI</v>
      </c>
      <c r="B8" s="15">
        <v>44050</v>
      </c>
      <c r="C8" s="8">
        <v>9992</v>
      </c>
      <c r="D8" s="8">
        <v>10065</v>
      </c>
      <c r="E8" s="16">
        <f t="shared" si="0"/>
        <v>20057</v>
      </c>
      <c r="F8" s="13">
        <f t="shared" si="1"/>
        <v>-73</v>
      </c>
      <c r="H8" s="13"/>
      <c r="I8" s="26"/>
    </row>
    <row r="9" spans="1:9" x14ac:dyDescent="0.3">
      <c r="A9" s="14" t="str">
        <f t="shared" si="2"/>
        <v>MON</v>
      </c>
      <c r="B9" s="15">
        <v>44053</v>
      </c>
      <c r="C9" s="8">
        <v>9124</v>
      </c>
      <c r="D9" s="8">
        <v>10515</v>
      </c>
      <c r="E9" s="16">
        <f t="shared" si="0"/>
        <v>19639</v>
      </c>
      <c r="F9" s="13">
        <f t="shared" si="1"/>
        <v>-1391</v>
      </c>
      <c r="H9" s="13"/>
      <c r="I9" s="26"/>
    </row>
    <row r="10" spans="1:9" x14ac:dyDescent="0.3">
      <c r="A10" s="14" t="str">
        <f t="shared" si="2"/>
        <v>TUE</v>
      </c>
      <c r="B10" s="15">
        <v>44054</v>
      </c>
      <c r="C10" s="8">
        <v>8995</v>
      </c>
      <c r="D10" s="8">
        <v>10354</v>
      </c>
      <c r="E10" s="16">
        <f>SUM(C10:D10)</f>
        <v>19349</v>
      </c>
      <c r="F10" s="13">
        <f t="shared" si="1"/>
        <v>-1359</v>
      </c>
      <c r="H10" s="13"/>
      <c r="I10" s="26"/>
    </row>
    <row r="11" spans="1:9" x14ac:dyDescent="0.3">
      <c r="A11" s="14" t="str">
        <f t="shared" si="2"/>
        <v>WED</v>
      </c>
      <c r="B11" s="15">
        <v>44055</v>
      </c>
      <c r="C11" s="8">
        <v>8533</v>
      </c>
      <c r="D11" s="8">
        <v>9884</v>
      </c>
      <c r="E11" s="16">
        <f t="shared" si="0"/>
        <v>18417</v>
      </c>
      <c r="F11" s="13">
        <f t="shared" si="1"/>
        <v>-1351</v>
      </c>
      <c r="H11" s="13"/>
      <c r="I11" s="26"/>
    </row>
    <row r="12" spans="1:9" x14ac:dyDescent="0.3">
      <c r="A12" s="14" t="str">
        <f t="shared" si="2"/>
        <v>THU</v>
      </c>
      <c r="B12" s="15">
        <v>44056</v>
      </c>
      <c r="C12" s="8">
        <v>8728</v>
      </c>
      <c r="D12" s="8">
        <v>9539</v>
      </c>
      <c r="E12" s="16">
        <f t="shared" si="0"/>
        <v>18267</v>
      </c>
      <c r="F12" s="13">
        <f t="shared" si="1"/>
        <v>-811</v>
      </c>
      <c r="H12" s="13"/>
      <c r="I12" s="26"/>
    </row>
    <row r="13" spans="1:9" x14ac:dyDescent="0.3">
      <c r="A13" s="14" t="str">
        <f t="shared" si="2"/>
        <v>FRI</v>
      </c>
      <c r="B13" s="15">
        <v>44057</v>
      </c>
      <c r="C13" s="8">
        <v>11336</v>
      </c>
      <c r="D13" s="8">
        <v>10915</v>
      </c>
      <c r="E13" s="16">
        <f t="shared" si="0"/>
        <v>22251</v>
      </c>
      <c r="F13" s="13">
        <f t="shared" si="1"/>
        <v>421</v>
      </c>
      <c r="H13" s="13"/>
      <c r="I13" s="26"/>
    </row>
    <row r="14" spans="1:9" x14ac:dyDescent="0.3">
      <c r="A14" s="14" t="str">
        <f t="shared" si="2"/>
        <v>MON</v>
      </c>
      <c r="B14" s="15">
        <v>44060</v>
      </c>
      <c r="C14" s="8">
        <v>11244</v>
      </c>
      <c r="D14" s="8">
        <v>9698</v>
      </c>
      <c r="E14" s="16">
        <f t="shared" si="0"/>
        <v>20942</v>
      </c>
      <c r="F14" s="13">
        <f t="shared" si="1"/>
        <v>1546</v>
      </c>
      <c r="H14" s="13"/>
      <c r="I14" s="26"/>
    </row>
    <row r="15" spans="1:9" x14ac:dyDescent="0.3">
      <c r="A15" s="14" t="str">
        <f t="shared" si="2"/>
        <v>TUE</v>
      </c>
      <c r="B15" s="15">
        <v>44061</v>
      </c>
      <c r="C15" s="8">
        <v>11698</v>
      </c>
      <c r="D15" s="8">
        <v>10391</v>
      </c>
      <c r="E15" s="16">
        <f t="shared" si="0"/>
        <v>22089</v>
      </c>
      <c r="F15" s="13">
        <f t="shared" si="1"/>
        <v>1307</v>
      </c>
      <c r="H15" s="13"/>
      <c r="I15" s="26"/>
    </row>
    <row r="16" spans="1:9" x14ac:dyDescent="0.3">
      <c r="A16" s="14" t="str">
        <f t="shared" si="2"/>
        <v>WED</v>
      </c>
      <c r="B16" s="15">
        <v>44062</v>
      </c>
      <c r="C16" s="8">
        <v>10536</v>
      </c>
      <c r="D16" s="8">
        <v>11162</v>
      </c>
      <c r="E16" s="16">
        <f t="shared" si="0"/>
        <v>21698</v>
      </c>
      <c r="F16" s="13">
        <f t="shared" si="1"/>
        <v>-626</v>
      </c>
      <c r="H16" s="13"/>
      <c r="I16" s="26"/>
    </row>
    <row r="17" spans="1:9" x14ac:dyDescent="0.3">
      <c r="A17" s="14" t="str">
        <f t="shared" si="2"/>
        <v>THU</v>
      </c>
      <c r="B17" s="15">
        <v>44063</v>
      </c>
      <c r="C17" s="8">
        <v>13069</v>
      </c>
      <c r="D17" s="8">
        <v>10323</v>
      </c>
      <c r="E17" s="16">
        <f t="shared" si="0"/>
        <v>23392</v>
      </c>
      <c r="F17" s="13">
        <f t="shared" si="1"/>
        <v>2746</v>
      </c>
      <c r="H17" s="13"/>
      <c r="I17" s="26"/>
    </row>
    <row r="18" spans="1:9" x14ac:dyDescent="0.3">
      <c r="A18" s="14" t="str">
        <f t="shared" si="2"/>
        <v>FRI</v>
      </c>
      <c r="B18" s="15">
        <v>44064</v>
      </c>
      <c r="C18" s="8">
        <v>12657</v>
      </c>
      <c r="D18" s="8">
        <v>11149</v>
      </c>
      <c r="E18" s="16">
        <f t="shared" si="0"/>
        <v>23806</v>
      </c>
      <c r="F18" s="13">
        <f t="shared" si="1"/>
        <v>1508</v>
      </c>
      <c r="H18" s="13"/>
      <c r="I18" s="26"/>
    </row>
    <row r="19" spans="1:9" x14ac:dyDescent="0.3">
      <c r="A19" s="14" t="str">
        <f t="shared" si="2"/>
        <v>MON</v>
      </c>
      <c r="B19" s="15">
        <v>44067</v>
      </c>
      <c r="C19" s="8">
        <v>13231</v>
      </c>
      <c r="D19" s="8">
        <v>10401</v>
      </c>
      <c r="E19" s="16">
        <f t="shared" si="0"/>
        <v>23632</v>
      </c>
      <c r="F19" s="13">
        <f t="shared" si="1"/>
        <v>2830</v>
      </c>
      <c r="H19" s="13"/>
      <c r="I19" s="26"/>
    </row>
    <row r="20" spans="1:9" x14ac:dyDescent="0.3">
      <c r="A20" s="14" t="str">
        <f t="shared" si="2"/>
        <v>TUE</v>
      </c>
      <c r="B20" s="15">
        <v>44068</v>
      </c>
      <c r="C20" s="8">
        <v>10806</v>
      </c>
      <c r="D20" s="8">
        <v>9609</v>
      </c>
      <c r="E20" s="16">
        <f t="shared" si="0"/>
        <v>20415</v>
      </c>
      <c r="F20" s="13">
        <f t="shared" si="1"/>
        <v>1197</v>
      </c>
      <c r="H20" s="13"/>
      <c r="I20" s="26"/>
    </row>
    <row r="21" spans="1:9" x14ac:dyDescent="0.3">
      <c r="A21" s="14" t="str">
        <f t="shared" si="2"/>
        <v>WED</v>
      </c>
      <c r="B21" s="15">
        <v>44069</v>
      </c>
      <c r="C21" s="8">
        <v>11502</v>
      </c>
      <c r="D21" s="8">
        <v>11351</v>
      </c>
      <c r="E21" s="16">
        <f t="shared" si="0"/>
        <v>22853</v>
      </c>
      <c r="F21" s="13">
        <f t="shared" si="1"/>
        <v>151</v>
      </c>
      <c r="H21" s="13"/>
      <c r="I21" s="26"/>
    </row>
    <row r="22" spans="1:9" x14ac:dyDescent="0.3">
      <c r="A22" s="14" t="str">
        <f t="shared" si="2"/>
        <v>THU</v>
      </c>
      <c r="B22" s="15">
        <v>44070</v>
      </c>
      <c r="C22" s="8">
        <v>10663</v>
      </c>
      <c r="D22" s="8">
        <v>10545</v>
      </c>
      <c r="E22" s="16">
        <f t="shared" si="0"/>
        <v>21208</v>
      </c>
      <c r="F22" s="13">
        <f t="shared" si="1"/>
        <v>118</v>
      </c>
      <c r="H22" s="13"/>
      <c r="I22" s="26"/>
    </row>
    <row r="23" spans="1:9" x14ac:dyDescent="0.3">
      <c r="A23" s="14" t="str">
        <f t="shared" si="2"/>
        <v>FRI</v>
      </c>
      <c r="B23" s="15">
        <v>44071</v>
      </c>
      <c r="C23" s="8">
        <v>10968</v>
      </c>
      <c r="D23" s="8">
        <v>10965</v>
      </c>
      <c r="E23" s="16">
        <f t="shared" si="0"/>
        <v>21933</v>
      </c>
      <c r="F23" s="13">
        <f t="shared" si="1"/>
        <v>3</v>
      </c>
      <c r="H23" s="13"/>
      <c r="I23" s="26"/>
    </row>
    <row r="24" spans="1:9" x14ac:dyDescent="0.3">
      <c r="A24" s="14" t="str">
        <f t="shared" si="2"/>
        <v>MON</v>
      </c>
      <c r="B24" s="15">
        <v>44074</v>
      </c>
      <c r="C24" s="8">
        <v>10658</v>
      </c>
      <c r="D24" s="8">
        <v>10441</v>
      </c>
      <c r="E24" s="16">
        <f t="shared" si="0"/>
        <v>21099</v>
      </c>
      <c r="F24" s="13">
        <f>C24-D24</f>
        <v>217</v>
      </c>
      <c r="H24" s="13"/>
      <c r="I24" s="26"/>
    </row>
    <row r="25" spans="1:9" ht="15" thickBot="1" x14ac:dyDescent="0.35">
      <c r="A25" s="37" t="s">
        <v>7</v>
      </c>
      <c r="B25" s="38"/>
      <c r="C25" s="17">
        <f>SUM(C4:C24)</f>
        <v>223239</v>
      </c>
      <c r="D25" s="17">
        <f>SUM(D4:D24)</f>
        <v>214960</v>
      </c>
      <c r="E25" s="18">
        <f>SUM(E4:E24)</f>
        <v>438199</v>
      </c>
      <c r="F25" s="13"/>
      <c r="H25" s="13"/>
      <c r="I25" s="26"/>
    </row>
    <row r="26" spans="1:9" ht="15" thickBot="1" x14ac:dyDescent="0.35">
      <c r="A26" s="13"/>
      <c r="B26" s="13"/>
      <c r="C26" s="13"/>
      <c r="D26" s="13"/>
      <c r="E26" s="13"/>
      <c r="F26" s="13"/>
      <c r="H26" s="13"/>
      <c r="I26" s="26"/>
    </row>
    <row r="27" spans="1:9" x14ac:dyDescent="0.3">
      <c r="A27" s="35" t="s">
        <v>12</v>
      </c>
      <c r="B27" s="36"/>
      <c r="C27" s="36"/>
      <c r="D27" s="36"/>
      <c r="E27" s="19">
        <f>E25</f>
        <v>438199</v>
      </c>
      <c r="F27" s="13"/>
      <c r="H27" s="13"/>
      <c r="I27" s="26"/>
    </row>
    <row r="28" spans="1:9" ht="15" thickBot="1" x14ac:dyDescent="0.35">
      <c r="A28" s="37" t="s">
        <v>8</v>
      </c>
      <c r="B28" s="38"/>
      <c r="C28" s="38"/>
      <c r="D28" s="38"/>
      <c r="E28" s="20">
        <f>AVERAGE(E4:E24)</f>
        <v>20866.619047619046</v>
      </c>
      <c r="F28" s="13"/>
      <c r="H28" s="13"/>
      <c r="I28" s="26"/>
    </row>
    <row r="29" spans="1:9" x14ac:dyDescent="0.3">
      <c r="A29" s="13"/>
      <c r="B29" s="13"/>
      <c r="C29" s="13"/>
      <c r="D29" s="13"/>
      <c r="E29" s="13"/>
      <c r="F29" s="13"/>
      <c r="H29" s="13"/>
      <c r="I29" s="26"/>
    </row>
    <row r="30" spans="1:9" x14ac:dyDescent="0.3">
      <c r="A30" s="13"/>
      <c r="B30" s="13"/>
      <c r="C30" s="13"/>
      <c r="D30" s="13"/>
      <c r="E30" s="13"/>
      <c r="F30" s="13"/>
      <c r="H30" s="13"/>
      <c r="I30" s="26"/>
    </row>
    <row r="31" spans="1:9" x14ac:dyDescent="0.3">
      <c r="A31" s="13"/>
      <c r="B31" s="13"/>
      <c r="C31" s="13"/>
      <c r="D31" s="13"/>
      <c r="E31" s="13"/>
      <c r="F31" s="13"/>
      <c r="H31" s="13"/>
      <c r="I31" s="26"/>
    </row>
    <row r="32" spans="1:9" x14ac:dyDescent="0.3">
      <c r="A32" s="13"/>
      <c r="B32" s="13"/>
      <c r="C32" s="13"/>
      <c r="D32" s="13"/>
      <c r="E32" s="13"/>
      <c r="F32" s="13"/>
      <c r="H32" s="13"/>
      <c r="I32" s="26"/>
    </row>
    <row r="33" spans="1:9" ht="15" thickBot="1" x14ac:dyDescent="0.35">
      <c r="A33" s="13"/>
      <c r="B33" s="13"/>
      <c r="C33" s="13"/>
      <c r="D33" s="13"/>
      <c r="E33" s="13"/>
      <c r="F33" s="13"/>
      <c r="H33" s="13"/>
      <c r="I33" s="26"/>
    </row>
    <row r="34" spans="1:9" x14ac:dyDescent="0.3">
      <c r="A34" s="39" t="s">
        <v>13</v>
      </c>
      <c r="B34" s="40"/>
      <c r="C34" s="40"/>
      <c r="D34" s="40"/>
      <c r="E34" s="41"/>
      <c r="F34" s="13"/>
      <c r="H34" s="13"/>
      <c r="I34" s="26"/>
    </row>
    <row r="35" spans="1:9" ht="27.6" x14ac:dyDescent="0.3">
      <c r="A35" s="21" t="s">
        <v>0</v>
      </c>
      <c r="B35" s="22" t="s">
        <v>1</v>
      </c>
      <c r="C35" s="22" t="s">
        <v>2</v>
      </c>
      <c r="D35" s="22" t="s">
        <v>3</v>
      </c>
      <c r="E35" s="5" t="s">
        <v>4</v>
      </c>
      <c r="F35" s="13"/>
      <c r="H35" s="13"/>
      <c r="I35" s="26"/>
    </row>
    <row r="36" spans="1:9" x14ac:dyDescent="0.3">
      <c r="A36" s="14" t="str">
        <f t="shared" ref="A36:A45" si="3">CHOOSE(WEEKDAY(B36),"SUN","MON","TUE","WED","THU","FRI","SAT")</f>
        <v>SAT</v>
      </c>
      <c r="B36" s="15">
        <v>44044</v>
      </c>
      <c r="C36" s="8">
        <v>9285</v>
      </c>
      <c r="D36" s="8">
        <v>8644</v>
      </c>
      <c r="E36" s="16">
        <f>SUM(C36:D36)</f>
        <v>17929</v>
      </c>
      <c r="F36" s="13">
        <f>C36-D36</f>
        <v>641</v>
      </c>
      <c r="H36" s="13"/>
      <c r="I36" s="26"/>
    </row>
    <row r="37" spans="1:9" x14ac:dyDescent="0.3">
      <c r="A37" s="14" t="str">
        <f t="shared" si="3"/>
        <v>SUN</v>
      </c>
      <c r="B37" s="15">
        <v>44045</v>
      </c>
      <c r="C37" s="8">
        <v>6943</v>
      </c>
      <c r="D37" s="8">
        <v>6459</v>
      </c>
      <c r="E37" s="16">
        <f t="shared" ref="E37:E45" si="4">SUM(C37:D37)</f>
        <v>13402</v>
      </c>
      <c r="F37" s="13">
        <f t="shared" ref="F37:F45" si="5">C37-D37</f>
        <v>484</v>
      </c>
    </row>
    <row r="38" spans="1:9" x14ac:dyDescent="0.3">
      <c r="A38" s="14" t="str">
        <f t="shared" si="3"/>
        <v>SAT</v>
      </c>
      <c r="B38" s="15">
        <v>44051</v>
      </c>
      <c r="C38" s="8">
        <v>6975</v>
      </c>
      <c r="D38" s="8">
        <v>8149</v>
      </c>
      <c r="E38" s="16">
        <f t="shared" si="4"/>
        <v>15124</v>
      </c>
      <c r="F38" s="13">
        <f t="shared" si="5"/>
        <v>-1174</v>
      </c>
    </row>
    <row r="39" spans="1:9" x14ac:dyDescent="0.3">
      <c r="A39" s="14" t="str">
        <f t="shared" si="3"/>
        <v>SUN</v>
      </c>
      <c r="B39" s="15">
        <v>44052</v>
      </c>
      <c r="C39" s="8">
        <v>6877</v>
      </c>
      <c r="D39" s="8">
        <v>7367</v>
      </c>
      <c r="E39" s="16">
        <f t="shared" si="4"/>
        <v>14244</v>
      </c>
      <c r="F39" s="13">
        <f t="shared" si="5"/>
        <v>-490</v>
      </c>
    </row>
    <row r="40" spans="1:9" x14ac:dyDescent="0.3">
      <c r="A40" s="14" t="str">
        <f t="shared" si="3"/>
        <v>SAT</v>
      </c>
      <c r="B40" s="15">
        <v>44058</v>
      </c>
      <c r="C40" s="8">
        <v>9501</v>
      </c>
      <c r="D40" s="8">
        <v>7860</v>
      </c>
      <c r="E40" s="16">
        <f t="shared" si="4"/>
        <v>17361</v>
      </c>
      <c r="F40" s="13">
        <f t="shared" si="5"/>
        <v>1641</v>
      </c>
    </row>
    <row r="41" spans="1:9" x14ac:dyDescent="0.3">
      <c r="A41" s="14" t="str">
        <f t="shared" si="3"/>
        <v>SUN</v>
      </c>
      <c r="B41" s="15">
        <v>44059</v>
      </c>
      <c r="C41" s="8">
        <v>5816</v>
      </c>
      <c r="D41" s="8">
        <v>5364</v>
      </c>
      <c r="E41" s="16">
        <f>SUM(C41:D41)</f>
        <v>11180</v>
      </c>
      <c r="F41" s="13">
        <f t="shared" si="5"/>
        <v>452</v>
      </c>
    </row>
    <row r="42" spans="1:9" x14ac:dyDescent="0.3">
      <c r="A42" s="14" t="str">
        <f t="shared" si="3"/>
        <v>SAT</v>
      </c>
      <c r="B42" s="15">
        <v>44065</v>
      </c>
      <c r="C42" s="8">
        <v>10300</v>
      </c>
      <c r="D42" s="8">
        <v>8210</v>
      </c>
      <c r="E42" s="16">
        <f t="shared" si="4"/>
        <v>18510</v>
      </c>
      <c r="F42" s="13">
        <f t="shared" si="5"/>
        <v>2090</v>
      </c>
    </row>
    <row r="43" spans="1:9" x14ac:dyDescent="0.3">
      <c r="A43" s="14" t="str">
        <f t="shared" si="3"/>
        <v>SUN</v>
      </c>
      <c r="B43" s="15">
        <v>44066</v>
      </c>
      <c r="C43" s="8">
        <v>9105</v>
      </c>
      <c r="D43" s="8">
        <v>6610</v>
      </c>
      <c r="E43" s="16">
        <f t="shared" si="4"/>
        <v>15715</v>
      </c>
      <c r="F43" s="13">
        <f t="shared" si="5"/>
        <v>2495</v>
      </c>
    </row>
    <row r="44" spans="1:9" x14ac:dyDescent="0.3">
      <c r="A44" s="14" t="str">
        <f t="shared" si="3"/>
        <v>SAT</v>
      </c>
      <c r="B44" s="25">
        <v>44072</v>
      </c>
      <c r="C44" s="8">
        <v>7201</v>
      </c>
      <c r="D44" s="8">
        <v>6940</v>
      </c>
      <c r="E44" s="16">
        <f t="shared" si="4"/>
        <v>14141</v>
      </c>
      <c r="F44" s="13">
        <f t="shared" si="5"/>
        <v>261</v>
      </c>
    </row>
    <row r="45" spans="1:9" x14ac:dyDescent="0.3">
      <c r="A45" s="14" t="str">
        <f t="shared" si="3"/>
        <v>SUN</v>
      </c>
      <c r="B45" s="25">
        <v>44073</v>
      </c>
      <c r="C45" s="8">
        <v>8908</v>
      </c>
      <c r="D45" s="8">
        <v>8719</v>
      </c>
      <c r="E45" s="16">
        <f t="shared" si="4"/>
        <v>17627</v>
      </c>
      <c r="F45" s="13">
        <f t="shared" si="5"/>
        <v>189</v>
      </c>
    </row>
    <row r="46" spans="1:9" ht="15" thickBot="1" x14ac:dyDescent="0.35">
      <c r="A46" s="37" t="s">
        <v>7</v>
      </c>
      <c r="B46" s="38"/>
      <c r="C46" s="17">
        <f>SUM(C36:C45)</f>
        <v>80911</v>
      </c>
      <c r="D46" s="17">
        <f>SUM(D36:D45)</f>
        <v>74322</v>
      </c>
      <c r="E46" s="18">
        <f>SUM(E36:E45)</f>
        <v>155233</v>
      </c>
      <c r="F46" s="13"/>
    </row>
    <row r="47" spans="1:9" ht="15" thickBot="1" x14ac:dyDescent="0.35">
      <c r="A47" s="23"/>
      <c r="B47" s="23"/>
      <c r="C47" s="23"/>
      <c r="D47" s="23"/>
      <c r="E47" s="23"/>
      <c r="F47" s="13"/>
    </row>
    <row r="48" spans="1:9" x14ac:dyDescent="0.3">
      <c r="A48" s="35" t="s">
        <v>9</v>
      </c>
      <c r="B48" s="36"/>
      <c r="C48" s="36"/>
      <c r="D48" s="36"/>
      <c r="E48" s="24">
        <f>AVERAGE(E36,E44,E38,E40,E42)</f>
        <v>16613</v>
      </c>
      <c r="F48" s="13"/>
    </row>
    <row r="49" spans="1:6" ht="15" thickBot="1" x14ac:dyDescent="0.35">
      <c r="A49" s="37" t="s">
        <v>10</v>
      </c>
      <c r="B49" s="38"/>
      <c r="C49" s="38"/>
      <c r="D49" s="38"/>
      <c r="E49" s="20">
        <f>AVERAGE(E37,E39,E41,E43,E45)</f>
        <v>14433.6</v>
      </c>
      <c r="F49" s="13"/>
    </row>
    <row r="50" spans="1:6" x14ac:dyDescent="0.3">
      <c r="A50" s="13"/>
      <c r="B50" s="13"/>
      <c r="C50" s="13"/>
      <c r="D50" s="13"/>
      <c r="E50" s="13"/>
      <c r="F50" s="13"/>
    </row>
    <row r="51" spans="1:6" x14ac:dyDescent="0.3">
      <c r="A51" s="13"/>
      <c r="B51" s="13"/>
      <c r="C51" s="13"/>
      <c r="D51" s="13"/>
      <c r="E51" s="13"/>
      <c r="F51" s="13"/>
    </row>
    <row r="52" spans="1:6" x14ac:dyDescent="0.3">
      <c r="A52" s="13"/>
      <c r="B52" s="13"/>
      <c r="C52" s="13"/>
      <c r="D52" s="13"/>
      <c r="E52" s="13"/>
      <c r="F52" s="13"/>
    </row>
    <row r="53" spans="1:6" x14ac:dyDescent="0.3">
      <c r="A53" s="13"/>
      <c r="B53" s="13"/>
      <c r="C53" s="13"/>
      <c r="D53" s="13"/>
      <c r="E53" s="13"/>
      <c r="F53" s="13"/>
    </row>
    <row r="54" spans="1:6" x14ac:dyDescent="0.3">
      <c r="A54" s="13"/>
      <c r="B54" s="13"/>
      <c r="C54" s="13"/>
      <c r="D54" s="13"/>
      <c r="E54" s="13"/>
      <c r="F54" s="13"/>
    </row>
    <row r="55" spans="1:6" x14ac:dyDescent="0.3">
      <c r="A55" s="13"/>
      <c r="B55" s="13"/>
      <c r="C55" s="13"/>
      <c r="D55" s="13"/>
      <c r="E55" s="13"/>
      <c r="F55" s="13"/>
    </row>
    <row r="56" spans="1:6" x14ac:dyDescent="0.3">
      <c r="A56" s="13"/>
      <c r="B56" s="13"/>
      <c r="C56" s="13"/>
      <c r="D56" s="13"/>
      <c r="E56" s="13"/>
      <c r="F56" s="13"/>
    </row>
    <row r="57" spans="1:6" x14ac:dyDescent="0.3">
      <c r="A57" s="13"/>
      <c r="B57" s="13"/>
      <c r="C57" s="13"/>
      <c r="D57" s="13"/>
      <c r="E57" s="13"/>
      <c r="F57" s="13"/>
    </row>
    <row r="58" spans="1:6" x14ac:dyDescent="0.3">
      <c r="A58" s="13"/>
      <c r="B58" s="13"/>
      <c r="C58" s="13"/>
      <c r="D58" s="13"/>
      <c r="E58" s="13"/>
      <c r="F58" s="13"/>
    </row>
    <row r="59" spans="1:6" x14ac:dyDescent="0.3">
      <c r="A59" s="13"/>
      <c r="B59" s="13"/>
      <c r="C59" s="13"/>
      <c r="D59" s="13"/>
      <c r="E59" s="13"/>
      <c r="F59" s="13"/>
    </row>
    <row r="60" spans="1:6" x14ac:dyDescent="0.3">
      <c r="A60" s="13"/>
      <c r="B60" s="13"/>
      <c r="C60" s="13"/>
      <c r="D60" s="13"/>
      <c r="E60" s="13"/>
      <c r="F60" s="13"/>
    </row>
    <row r="61" spans="1:6" x14ac:dyDescent="0.3">
      <c r="A61" s="13"/>
      <c r="B61" s="13"/>
      <c r="C61" s="13"/>
      <c r="D61" s="13"/>
      <c r="E61" s="13"/>
      <c r="F61" s="13"/>
    </row>
    <row r="62" spans="1:6" x14ac:dyDescent="0.3">
      <c r="A62" s="13"/>
      <c r="B62" s="13"/>
      <c r="C62" s="13"/>
      <c r="D62" s="13"/>
      <c r="E62" s="13"/>
      <c r="F62" s="13"/>
    </row>
    <row r="63" spans="1:6" x14ac:dyDescent="0.3">
      <c r="A63" s="13"/>
      <c r="B63" s="13"/>
      <c r="C63" s="13"/>
      <c r="D63" s="13"/>
      <c r="E63" s="13"/>
      <c r="F63" s="13"/>
    </row>
    <row r="64" spans="1:6" x14ac:dyDescent="0.3">
      <c r="A64" s="13"/>
      <c r="B64" s="13"/>
      <c r="C64" s="13"/>
      <c r="D64" s="13"/>
      <c r="E64" s="13"/>
      <c r="F64" s="13"/>
    </row>
    <row r="65" spans="1:6" x14ac:dyDescent="0.3">
      <c r="A65" s="13"/>
      <c r="B65" s="13"/>
      <c r="C65" s="13"/>
      <c r="D65" s="13"/>
      <c r="E65" s="13"/>
      <c r="F65" s="13"/>
    </row>
    <row r="66" spans="1:6" x14ac:dyDescent="0.3">
      <c r="A66" s="13"/>
      <c r="B66" s="13"/>
      <c r="C66" s="13"/>
      <c r="D66" s="13"/>
      <c r="E66" s="13"/>
      <c r="F66" s="13"/>
    </row>
    <row r="67" spans="1:6" x14ac:dyDescent="0.3">
      <c r="A67" s="13"/>
      <c r="B67" s="13"/>
      <c r="C67" s="13"/>
      <c r="D67" s="13"/>
      <c r="E67" s="13"/>
      <c r="F67" s="13"/>
    </row>
    <row r="68" spans="1:6" x14ac:dyDescent="0.3">
      <c r="A68" s="13"/>
      <c r="B68" s="13"/>
      <c r="C68" s="13"/>
      <c r="D68" s="13"/>
      <c r="E68" s="13"/>
      <c r="F68" s="13"/>
    </row>
    <row r="69" spans="1:6" x14ac:dyDescent="0.3">
      <c r="A69" s="13"/>
      <c r="B69" s="13"/>
      <c r="C69" s="13"/>
      <c r="D69" s="13"/>
      <c r="E69" s="13"/>
      <c r="F69" s="13"/>
    </row>
    <row r="70" spans="1:6" x14ac:dyDescent="0.3">
      <c r="A70" s="13"/>
      <c r="B70" s="13"/>
      <c r="C70" s="13"/>
      <c r="D70" s="13"/>
      <c r="E70" s="13"/>
      <c r="F70" s="13"/>
    </row>
    <row r="71" spans="1:6" x14ac:dyDescent="0.3">
      <c r="A71" s="13"/>
      <c r="B71" s="13"/>
      <c r="C71" s="13"/>
      <c r="D71" s="13"/>
      <c r="E71" s="13"/>
      <c r="F71" s="13"/>
    </row>
    <row r="72" spans="1:6" x14ac:dyDescent="0.3">
      <c r="A72" s="13"/>
      <c r="B72" s="13"/>
      <c r="C72" s="13"/>
      <c r="D72" s="13"/>
      <c r="E72" s="13"/>
      <c r="F72" s="13"/>
    </row>
    <row r="73" spans="1:6" x14ac:dyDescent="0.3">
      <c r="A73" s="13"/>
      <c r="B73" s="13"/>
      <c r="C73" s="13"/>
      <c r="D73" s="13"/>
      <c r="E73" s="13"/>
      <c r="F73" s="13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13"/>
      <c r="B75" s="13"/>
      <c r="C75" s="13"/>
      <c r="D75" s="13"/>
      <c r="E75" s="13"/>
      <c r="F75" s="13"/>
    </row>
    <row r="76" spans="1:6" x14ac:dyDescent="0.3">
      <c r="A76" s="13"/>
      <c r="B76" s="13"/>
      <c r="C76" s="13"/>
      <c r="D76" s="13"/>
      <c r="E76" s="13"/>
      <c r="F76" s="13"/>
    </row>
    <row r="77" spans="1:6" x14ac:dyDescent="0.3">
      <c r="A77" s="13"/>
      <c r="B77" s="13"/>
      <c r="C77" s="13"/>
      <c r="D77" s="13"/>
      <c r="E77" s="13"/>
      <c r="F77" s="13"/>
    </row>
    <row r="78" spans="1:6" x14ac:dyDescent="0.3">
      <c r="A78" s="13"/>
      <c r="B78" s="13"/>
      <c r="C78" s="13"/>
      <c r="D78" s="13"/>
      <c r="E78" s="13"/>
      <c r="F78" s="13"/>
    </row>
    <row r="79" spans="1:6" x14ac:dyDescent="0.3">
      <c r="A79" s="13"/>
      <c r="B79" s="13"/>
      <c r="C79" s="13"/>
      <c r="D79" s="13"/>
      <c r="E79" s="13"/>
      <c r="F79" s="13"/>
    </row>
    <row r="80" spans="1:6" x14ac:dyDescent="0.3">
      <c r="A80" s="13"/>
      <c r="B80" s="13"/>
      <c r="C80" s="13"/>
      <c r="D80" s="13"/>
      <c r="E80" s="13"/>
      <c r="F80" s="13"/>
    </row>
    <row r="81" spans="1:6" x14ac:dyDescent="0.3">
      <c r="A81" s="13"/>
      <c r="B81" s="13"/>
      <c r="C81" s="13"/>
      <c r="D81" s="13"/>
      <c r="E81" s="13"/>
      <c r="F81" s="13"/>
    </row>
    <row r="82" spans="1:6" x14ac:dyDescent="0.3">
      <c r="A82" s="13"/>
      <c r="B82" s="13"/>
      <c r="C82" s="13"/>
      <c r="D82" s="13"/>
      <c r="E82" s="13"/>
      <c r="F82" s="13"/>
    </row>
    <row r="83" spans="1:6" x14ac:dyDescent="0.3">
      <c r="A83" s="13"/>
      <c r="B83" s="13"/>
      <c r="C83" s="13"/>
      <c r="D83" s="13"/>
      <c r="E83" s="13"/>
      <c r="F83" s="13"/>
    </row>
    <row r="84" spans="1:6" x14ac:dyDescent="0.3">
      <c r="A84" s="13"/>
      <c r="B84" s="13"/>
      <c r="C84" s="13"/>
      <c r="D84" s="13"/>
      <c r="E84" s="13"/>
      <c r="F84" s="13"/>
    </row>
    <row r="85" spans="1:6" x14ac:dyDescent="0.3">
      <c r="A85" s="13"/>
      <c r="B85" s="13"/>
      <c r="C85" s="13"/>
      <c r="D85" s="13"/>
      <c r="E85" s="13"/>
      <c r="F85" s="13"/>
    </row>
    <row r="86" spans="1:6" x14ac:dyDescent="0.3">
      <c r="A86" s="13"/>
      <c r="B86" s="13"/>
      <c r="C86" s="13"/>
      <c r="D86" s="13"/>
      <c r="E86" s="13"/>
      <c r="F86" s="13"/>
    </row>
    <row r="87" spans="1:6" x14ac:dyDescent="0.3">
      <c r="A87" s="13"/>
      <c r="B87" s="13"/>
      <c r="C87" s="13"/>
      <c r="D87" s="13"/>
      <c r="E87" s="13"/>
      <c r="F87" s="13"/>
    </row>
    <row r="88" spans="1:6" x14ac:dyDescent="0.3">
      <c r="A88" s="13"/>
      <c r="B88" s="13"/>
      <c r="C88" s="13"/>
      <c r="D88" s="13"/>
      <c r="E88" s="13"/>
      <c r="F88" s="13"/>
    </row>
    <row r="89" spans="1:6" x14ac:dyDescent="0.3">
      <c r="A89" s="13"/>
      <c r="B89" s="13"/>
      <c r="C89" s="13"/>
      <c r="D89" s="13"/>
      <c r="E89" s="13"/>
      <c r="F89" s="13"/>
    </row>
    <row r="90" spans="1:6" x14ac:dyDescent="0.3">
      <c r="A90" s="13"/>
      <c r="B90" s="13"/>
      <c r="C90" s="13"/>
      <c r="D90" s="13"/>
      <c r="E90" s="13"/>
      <c r="F90" s="13"/>
    </row>
    <row r="91" spans="1:6" x14ac:dyDescent="0.3">
      <c r="A91" s="13"/>
      <c r="B91" s="13"/>
      <c r="C91" s="13"/>
      <c r="D91" s="13"/>
      <c r="E91" s="13"/>
      <c r="F91" s="13"/>
    </row>
    <row r="92" spans="1:6" x14ac:dyDescent="0.3">
      <c r="A92" s="13"/>
      <c r="B92" s="13"/>
      <c r="C92" s="13"/>
      <c r="D92" s="13"/>
      <c r="E92" s="13"/>
      <c r="F92" s="13"/>
    </row>
    <row r="93" spans="1:6" x14ac:dyDescent="0.3">
      <c r="A93" s="13"/>
      <c r="B93" s="13"/>
      <c r="C93" s="13"/>
      <c r="D93" s="13"/>
      <c r="E93" s="13"/>
      <c r="F93" s="13"/>
    </row>
    <row r="94" spans="1:6" x14ac:dyDescent="0.3">
      <c r="A94" s="13"/>
      <c r="B94" s="13"/>
      <c r="C94" s="13"/>
      <c r="D94" s="13"/>
      <c r="E94" s="13"/>
      <c r="F94" s="13"/>
    </row>
    <row r="95" spans="1:6" x14ac:dyDescent="0.3">
      <c r="F95" s="13"/>
    </row>
    <row r="96" spans="1:6" x14ac:dyDescent="0.3">
      <c r="F96" s="13"/>
    </row>
  </sheetData>
  <mergeCells count="8">
    <mergeCell ref="A48:D48"/>
    <mergeCell ref="A49:D49"/>
    <mergeCell ref="A2:E2"/>
    <mergeCell ref="A25:B25"/>
    <mergeCell ref="A27:D27"/>
    <mergeCell ref="A28:D28"/>
    <mergeCell ref="A34:E34"/>
    <mergeCell ref="A46:B46"/>
  </mergeCells>
  <pageMargins left="0.7" right="0.7" top="0.75" bottom="0.75" header="0.3" footer="0.3"/>
  <ignoredErrors>
    <ignoredError sqref="E4:E10 E36:E41 E42:E45 E11:E2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CB240F-7250-4854-8E17-F9ADC78B2A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E06A4D6-A15F-421E-A168-EBFA7F493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04F789-D73C-476F-B5D9-C9EEC13E66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2020-09-04T11:40:51Z</dcterms:created>
  <dcterms:modified xsi:type="dcterms:W3CDTF">2026-04-07T23:53:34Z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