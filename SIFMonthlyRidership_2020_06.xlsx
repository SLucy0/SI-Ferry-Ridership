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SIFMonthlyRidership_2017_to_2025/"/>
    </mc:Choice>
  </mc:AlternateContent>
  <xr:revisionPtr revIDLastSave="1" documentId="8_{1373579F-160C-4B78-8424-9405957606B2}" xr6:coauthVersionLast="47" xr6:coauthVersionMax="47" xr10:uidLastSave="{4D97282E-C36A-4F3F-A56E-85C90176ACEB}"/>
  <bookViews>
    <workbookView xWindow="-108" yWindow="-108" windowWidth="23256" windowHeight="13896" xr2:uid="{00000000-000D-0000-FFFF-FFFF00000000}"/>
  </bookViews>
  <sheets>
    <sheet name="TOTALS" sheetId="1" r:id="rId1"/>
    <sheet name="WEEKDAY-WEEK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C3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6" i="1"/>
  <c r="E23" i="2"/>
  <c r="E24" i="2"/>
  <c r="E25" i="2"/>
  <c r="E37" i="2"/>
  <c r="E38" i="2"/>
  <c r="E39" i="2"/>
  <c r="E40" i="2"/>
  <c r="E41" i="2"/>
  <c r="E42" i="2"/>
  <c r="E43" i="2"/>
  <c r="E36" i="2"/>
  <c r="D44" i="2"/>
  <c r="C4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4" i="2"/>
  <c r="D26" i="2"/>
  <c r="C26" i="2"/>
  <c r="E44" i="2" l="1"/>
  <c r="E46" i="2"/>
  <c r="E26" i="2"/>
  <c r="E47" i="2"/>
  <c r="E36" i="1"/>
  <c r="E40" i="1"/>
  <c r="E29" i="2"/>
  <c r="E28" i="2"/>
  <c r="A5" i="2"/>
  <c r="A6" i="2"/>
  <c r="A7" i="2"/>
  <c r="A8" i="2"/>
  <c r="A36" i="2"/>
  <c r="A37" i="2"/>
  <c r="A9" i="2"/>
  <c r="A10" i="2"/>
  <c r="A11" i="2"/>
  <c r="A12" i="2"/>
  <c r="A13" i="2"/>
  <c r="A38" i="2"/>
  <c r="A39" i="2"/>
  <c r="A14" i="2"/>
  <c r="A15" i="2"/>
  <c r="A16" i="2"/>
  <c r="A17" i="2"/>
  <c r="A18" i="2"/>
  <c r="A40" i="2"/>
  <c r="A41" i="2"/>
  <c r="A19" i="2"/>
  <c r="A20" i="2"/>
  <c r="A21" i="2"/>
  <c r="A22" i="2"/>
  <c r="A23" i="2"/>
  <c r="A42" i="2"/>
  <c r="A43" i="2"/>
  <c r="A24" i="2"/>
  <c r="A25" i="2"/>
  <c r="A4" i="2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6" i="1"/>
</calcChain>
</file>

<file path=xl/sharedStrings.xml><?xml version="1.0" encoding="utf-8"?>
<sst xmlns="http://schemas.openxmlformats.org/spreadsheetml/2006/main" count="25" uniqueCount="14">
  <si>
    <t>DAY</t>
  </si>
  <si>
    <t>DATE</t>
  </si>
  <si>
    <t>WHT</t>
  </si>
  <si>
    <t>STG</t>
  </si>
  <si>
    <t>COMBINED TOTAL</t>
  </si>
  <si>
    <t>JUNE 2020 WEEKDAY TOTALS</t>
  </si>
  <si>
    <t>TOTAL</t>
  </si>
  <si>
    <t>Total Weekday Pax Count June 2020</t>
  </si>
  <si>
    <t>Average Passengers/Weekday</t>
  </si>
  <si>
    <t>JUNE 2020 WEEKEND TOTALS</t>
  </si>
  <si>
    <t>Average Saturday Passengers</t>
  </si>
  <si>
    <t>Average Sunday Passengers</t>
  </si>
  <si>
    <t>TOTALS:</t>
  </si>
  <si>
    <t>TOTAL RIDERHIP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</si>
</sst>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14" fontId="1" fillId="4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1" fontId="2" fillId="4" borderId="1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1" fontId="2" fillId="4" borderId="8" xfId="0" applyNumberFormat="1" applyFont="1" applyFill="1" applyBorder="1" applyAlignment="1">
      <alignment horizontal="center"/>
    </xf>
    <xf numFmtId="16" fontId="3" fillId="3" borderId="6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40"/>
  <sheetViews>
    <sheetView tabSelected="1" workbookViewId="0">
      <selection activeCell="A5" sqref="A5"/>
    </sheetView>
  </sheetViews>
  <sheetFormatPr defaultColWidth="9.109375" defaultRowHeight="13.8" x14ac:dyDescent="0.25"/>
  <cols>
    <col min="1" max="5" width="12.6640625" style="3" customWidth="1"/>
    <col min="6" max="16384" width="9.109375" style="1"/>
  </cols>
  <sheetData>
    <row r="3" spans="1:5" ht="14.4" thickBot="1" x14ac:dyDescent="0.3"/>
    <row r="4" spans="1:5" x14ac:dyDescent="0.25">
      <c r="A4" s="26">
        <v>44002</v>
      </c>
      <c r="B4" s="27"/>
      <c r="C4" s="27"/>
      <c r="D4" s="27"/>
      <c r="E4" s="28"/>
    </row>
    <row r="5" spans="1:5" ht="41.25" customHeight="1" x14ac:dyDescent="0.25">
      <c r="A5" s="15" t="s">
        <v>0</v>
      </c>
      <c r="B5" s="5" t="s">
        <v>1</v>
      </c>
      <c r="C5" s="5" t="s">
        <v>2</v>
      </c>
      <c r="D5" s="5" t="s">
        <v>3</v>
      </c>
      <c r="E5" s="16" t="s">
        <v>4</v>
      </c>
    </row>
    <row r="6" spans="1:5" x14ac:dyDescent="0.25">
      <c r="A6" s="21" t="str">
        <f>CHOOSE(WEEKDAY(B6),"SUN","MON","TUE","WED","THU","FRI","SAT")</f>
        <v>MON</v>
      </c>
      <c r="B6" s="6">
        <v>43983</v>
      </c>
      <c r="C6" s="7">
        <v>6280</v>
      </c>
      <c r="D6" s="7">
        <v>5815</v>
      </c>
      <c r="E6" s="22">
        <f>SUM(C6:D6)</f>
        <v>12095</v>
      </c>
    </row>
    <row r="7" spans="1:5" x14ac:dyDescent="0.25">
      <c r="A7" s="21" t="str">
        <f t="shared" ref="A7:A35" si="0">CHOOSE(WEEKDAY(B7),"SUN","MON","TUE","WED","THU","FRI","SAT")</f>
        <v>TUE</v>
      </c>
      <c r="B7" s="6">
        <v>43984</v>
      </c>
      <c r="C7" s="7">
        <v>6462</v>
      </c>
      <c r="D7" s="7">
        <v>5482</v>
      </c>
      <c r="E7" s="22">
        <f t="shared" ref="E7:E35" si="1">SUM(C7:D7)</f>
        <v>11944</v>
      </c>
    </row>
    <row r="8" spans="1:5" x14ac:dyDescent="0.25">
      <c r="A8" s="21" t="str">
        <f t="shared" si="0"/>
        <v>WED</v>
      </c>
      <c r="B8" s="6">
        <v>43985</v>
      </c>
      <c r="C8" s="7">
        <v>5678</v>
      </c>
      <c r="D8" s="7">
        <v>5359</v>
      </c>
      <c r="E8" s="22">
        <f t="shared" si="1"/>
        <v>11037</v>
      </c>
    </row>
    <row r="9" spans="1:5" x14ac:dyDescent="0.25">
      <c r="A9" s="21" t="str">
        <f t="shared" si="0"/>
        <v>THU</v>
      </c>
      <c r="B9" s="6">
        <v>43986</v>
      </c>
      <c r="C9" s="7">
        <v>6006</v>
      </c>
      <c r="D9" s="7">
        <v>5621</v>
      </c>
      <c r="E9" s="22">
        <f t="shared" si="1"/>
        <v>11627</v>
      </c>
    </row>
    <row r="10" spans="1:5" x14ac:dyDescent="0.25">
      <c r="A10" s="21" t="str">
        <f t="shared" si="0"/>
        <v>FRI</v>
      </c>
      <c r="B10" s="6">
        <v>43987</v>
      </c>
      <c r="C10" s="7">
        <v>5697</v>
      </c>
      <c r="D10" s="7">
        <v>5423</v>
      </c>
      <c r="E10" s="22">
        <f t="shared" si="1"/>
        <v>11120</v>
      </c>
    </row>
    <row r="11" spans="1:5" x14ac:dyDescent="0.25">
      <c r="A11" s="21" t="str">
        <f t="shared" si="0"/>
        <v>SAT</v>
      </c>
      <c r="B11" s="6">
        <v>43988</v>
      </c>
      <c r="C11" s="7">
        <v>4449</v>
      </c>
      <c r="D11" s="7">
        <v>4104</v>
      </c>
      <c r="E11" s="22">
        <f t="shared" si="1"/>
        <v>8553</v>
      </c>
    </row>
    <row r="12" spans="1:5" x14ac:dyDescent="0.25">
      <c r="A12" s="21" t="str">
        <f t="shared" si="0"/>
        <v>SUN</v>
      </c>
      <c r="B12" s="6">
        <v>43989</v>
      </c>
      <c r="C12" s="7">
        <v>4324</v>
      </c>
      <c r="D12" s="7">
        <v>3926</v>
      </c>
      <c r="E12" s="22">
        <f t="shared" si="1"/>
        <v>8250</v>
      </c>
    </row>
    <row r="13" spans="1:5" x14ac:dyDescent="0.25">
      <c r="A13" s="21" t="str">
        <f t="shared" si="0"/>
        <v>MON</v>
      </c>
      <c r="B13" s="6">
        <v>43990</v>
      </c>
      <c r="C13" s="7">
        <v>6938</v>
      </c>
      <c r="D13" s="7">
        <v>6595</v>
      </c>
      <c r="E13" s="22">
        <f t="shared" si="1"/>
        <v>13533</v>
      </c>
    </row>
    <row r="14" spans="1:5" x14ac:dyDescent="0.25">
      <c r="A14" s="21" t="str">
        <f t="shared" si="0"/>
        <v>TUE</v>
      </c>
      <c r="B14" s="6">
        <v>43991</v>
      </c>
      <c r="C14" s="7">
        <v>7267</v>
      </c>
      <c r="D14" s="7">
        <v>6794</v>
      </c>
      <c r="E14" s="22">
        <f t="shared" si="1"/>
        <v>14061</v>
      </c>
    </row>
    <row r="15" spans="1:5" x14ac:dyDescent="0.25">
      <c r="A15" s="21" t="str">
        <f t="shared" si="0"/>
        <v>WED</v>
      </c>
      <c r="B15" s="6">
        <v>43992</v>
      </c>
      <c r="C15" s="7">
        <v>7526</v>
      </c>
      <c r="D15" s="7">
        <v>7038</v>
      </c>
      <c r="E15" s="22">
        <f t="shared" si="1"/>
        <v>14564</v>
      </c>
    </row>
    <row r="16" spans="1:5" x14ac:dyDescent="0.25">
      <c r="A16" s="21" t="str">
        <f t="shared" si="0"/>
        <v>THU</v>
      </c>
      <c r="B16" s="6">
        <v>43993</v>
      </c>
      <c r="C16" s="7">
        <v>6632</v>
      </c>
      <c r="D16" s="7">
        <v>6225</v>
      </c>
      <c r="E16" s="22">
        <f t="shared" si="1"/>
        <v>12857</v>
      </c>
    </row>
    <row r="17" spans="1:5" x14ac:dyDescent="0.25">
      <c r="A17" s="21" t="str">
        <f t="shared" si="0"/>
        <v>FRI</v>
      </c>
      <c r="B17" s="6">
        <v>43994</v>
      </c>
      <c r="C17" s="7">
        <v>7785</v>
      </c>
      <c r="D17" s="7">
        <v>7368</v>
      </c>
      <c r="E17" s="22">
        <f t="shared" si="1"/>
        <v>15153</v>
      </c>
    </row>
    <row r="18" spans="1:5" x14ac:dyDescent="0.25">
      <c r="A18" s="21" t="str">
        <f t="shared" si="0"/>
        <v>SAT</v>
      </c>
      <c r="B18" s="6">
        <v>43995</v>
      </c>
      <c r="C18" s="7">
        <v>6033</v>
      </c>
      <c r="D18" s="7">
        <v>5420</v>
      </c>
      <c r="E18" s="22">
        <f t="shared" si="1"/>
        <v>11453</v>
      </c>
    </row>
    <row r="19" spans="1:5" x14ac:dyDescent="0.25">
      <c r="A19" s="21" t="str">
        <f t="shared" si="0"/>
        <v>SUN</v>
      </c>
      <c r="B19" s="6">
        <v>43996</v>
      </c>
      <c r="C19" s="7">
        <v>5242</v>
      </c>
      <c r="D19" s="7">
        <v>4854</v>
      </c>
      <c r="E19" s="22">
        <f t="shared" si="1"/>
        <v>10096</v>
      </c>
    </row>
    <row r="20" spans="1:5" x14ac:dyDescent="0.25">
      <c r="A20" s="21" t="str">
        <f t="shared" si="0"/>
        <v>MON</v>
      </c>
      <c r="B20" s="6">
        <v>43997</v>
      </c>
      <c r="C20" s="7">
        <v>7560</v>
      </c>
      <c r="D20" s="7">
        <v>7197</v>
      </c>
      <c r="E20" s="22">
        <f t="shared" si="1"/>
        <v>14757</v>
      </c>
    </row>
    <row r="21" spans="1:5" x14ac:dyDescent="0.25">
      <c r="A21" s="21" t="str">
        <f t="shared" si="0"/>
        <v>TUE</v>
      </c>
      <c r="B21" s="6">
        <v>43998</v>
      </c>
      <c r="C21" s="7">
        <v>7791</v>
      </c>
      <c r="D21" s="7">
        <v>7371</v>
      </c>
      <c r="E21" s="22">
        <f t="shared" si="1"/>
        <v>15162</v>
      </c>
    </row>
    <row r="22" spans="1:5" x14ac:dyDescent="0.25">
      <c r="A22" s="21" t="str">
        <f t="shared" si="0"/>
        <v>WED</v>
      </c>
      <c r="B22" s="6">
        <v>43999</v>
      </c>
      <c r="C22" s="7">
        <v>7953</v>
      </c>
      <c r="D22" s="7">
        <v>7497</v>
      </c>
      <c r="E22" s="22">
        <f t="shared" si="1"/>
        <v>15450</v>
      </c>
    </row>
    <row r="23" spans="1:5" x14ac:dyDescent="0.25">
      <c r="A23" s="21" t="str">
        <f t="shared" si="0"/>
        <v>THU</v>
      </c>
      <c r="B23" s="6">
        <v>44000</v>
      </c>
      <c r="C23" s="7">
        <v>7828</v>
      </c>
      <c r="D23" s="7">
        <v>7369</v>
      </c>
      <c r="E23" s="22">
        <f t="shared" si="1"/>
        <v>15197</v>
      </c>
    </row>
    <row r="24" spans="1:5" x14ac:dyDescent="0.25">
      <c r="A24" s="21" t="str">
        <f t="shared" si="0"/>
        <v>FRI</v>
      </c>
      <c r="B24" s="6">
        <v>44001</v>
      </c>
      <c r="C24" s="7">
        <v>8395</v>
      </c>
      <c r="D24" s="7">
        <v>7968</v>
      </c>
      <c r="E24" s="22">
        <f t="shared" si="1"/>
        <v>16363</v>
      </c>
    </row>
    <row r="25" spans="1:5" x14ac:dyDescent="0.25">
      <c r="A25" s="21" t="str">
        <f t="shared" si="0"/>
        <v>SAT</v>
      </c>
      <c r="B25" s="6">
        <v>44002</v>
      </c>
      <c r="C25" s="7">
        <v>6149</v>
      </c>
      <c r="D25" s="7">
        <v>5681</v>
      </c>
      <c r="E25" s="22">
        <f t="shared" si="1"/>
        <v>11830</v>
      </c>
    </row>
    <row r="26" spans="1:5" x14ac:dyDescent="0.25">
      <c r="A26" s="21" t="str">
        <f t="shared" si="0"/>
        <v>SUN</v>
      </c>
      <c r="B26" s="6">
        <v>44003</v>
      </c>
      <c r="C26" s="7">
        <v>5773</v>
      </c>
      <c r="D26" s="7">
        <v>4969</v>
      </c>
      <c r="E26" s="22">
        <f t="shared" si="1"/>
        <v>10742</v>
      </c>
    </row>
    <row r="27" spans="1:5" x14ac:dyDescent="0.25">
      <c r="A27" s="21" t="str">
        <f t="shared" si="0"/>
        <v>MON</v>
      </c>
      <c r="B27" s="6">
        <v>44004</v>
      </c>
      <c r="C27" s="7">
        <v>8435</v>
      </c>
      <c r="D27" s="7">
        <v>8160</v>
      </c>
      <c r="E27" s="22">
        <f t="shared" si="1"/>
        <v>16595</v>
      </c>
    </row>
    <row r="28" spans="1:5" x14ac:dyDescent="0.25">
      <c r="A28" s="21" t="str">
        <f t="shared" si="0"/>
        <v>TUE</v>
      </c>
      <c r="B28" s="6">
        <v>44005</v>
      </c>
      <c r="C28" s="7">
        <v>8675</v>
      </c>
      <c r="D28" s="7">
        <v>8096</v>
      </c>
      <c r="E28" s="22">
        <f t="shared" si="1"/>
        <v>16771</v>
      </c>
    </row>
    <row r="29" spans="1:5" x14ac:dyDescent="0.25">
      <c r="A29" s="21" t="str">
        <f t="shared" si="0"/>
        <v>WED</v>
      </c>
      <c r="B29" s="6">
        <v>44006</v>
      </c>
      <c r="C29" s="7">
        <v>8721</v>
      </c>
      <c r="D29" s="7">
        <v>8231</v>
      </c>
      <c r="E29" s="22">
        <f t="shared" si="1"/>
        <v>16952</v>
      </c>
    </row>
    <row r="30" spans="1:5" x14ac:dyDescent="0.25">
      <c r="A30" s="21" t="str">
        <f t="shared" si="0"/>
        <v>THU</v>
      </c>
      <c r="B30" s="6">
        <v>44007</v>
      </c>
      <c r="C30" s="7">
        <v>8927</v>
      </c>
      <c r="D30" s="7">
        <v>8340</v>
      </c>
      <c r="E30" s="22">
        <f t="shared" si="1"/>
        <v>17267</v>
      </c>
    </row>
    <row r="31" spans="1:5" x14ac:dyDescent="0.25">
      <c r="A31" s="21" t="str">
        <f t="shared" si="0"/>
        <v>FRI</v>
      </c>
      <c r="B31" s="6">
        <v>44008</v>
      </c>
      <c r="C31" s="7">
        <v>9183</v>
      </c>
      <c r="D31" s="7">
        <v>8596</v>
      </c>
      <c r="E31" s="22">
        <f t="shared" si="1"/>
        <v>17779</v>
      </c>
    </row>
    <row r="32" spans="1:5" x14ac:dyDescent="0.25">
      <c r="A32" s="21" t="str">
        <f t="shared" si="0"/>
        <v>SAT</v>
      </c>
      <c r="B32" s="6">
        <v>44009</v>
      </c>
      <c r="C32" s="7">
        <v>6118</v>
      </c>
      <c r="D32" s="7">
        <v>5500</v>
      </c>
      <c r="E32" s="22">
        <f t="shared" si="1"/>
        <v>11618</v>
      </c>
    </row>
    <row r="33" spans="1:5" x14ac:dyDescent="0.25">
      <c r="A33" s="21" t="str">
        <f t="shared" si="0"/>
        <v>SUN</v>
      </c>
      <c r="B33" s="6">
        <v>44010</v>
      </c>
      <c r="C33" s="7">
        <v>5941</v>
      </c>
      <c r="D33" s="7">
        <v>5336</v>
      </c>
      <c r="E33" s="22">
        <f t="shared" si="1"/>
        <v>11277</v>
      </c>
    </row>
    <row r="34" spans="1:5" x14ac:dyDescent="0.25">
      <c r="A34" s="21" t="str">
        <f t="shared" si="0"/>
        <v>MON</v>
      </c>
      <c r="B34" s="6">
        <v>44011</v>
      </c>
      <c r="C34" s="7">
        <v>9047</v>
      </c>
      <c r="D34" s="7">
        <v>8619</v>
      </c>
      <c r="E34" s="22">
        <f t="shared" si="1"/>
        <v>17666</v>
      </c>
    </row>
    <row r="35" spans="1:5" x14ac:dyDescent="0.25">
      <c r="A35" s="21" t="str">
        <f t="shared" si="0"/>
        <v>TUE</v>
      </c>
      <c r="B35" s="6">
        <v>44012</v>
      </c>
      <c r="C35" s="7">
        <v>9054</v>
      </c>
      <c r="D35" s="7">
        <v>8470</v>
      </c>
      <c r="E35" s="22">
        <f t="shared" si="1"/>
        <v>17524</v>
      </c>
    </row>
    <row r="36" spans="1:5" ht="14.4" thickBot="1" x14ac:dyDescent="0.3">
      <c r="A36" s="29" t="s">
        <v>12</v>
      </c>
      <c r="B36" s="30"/>
      <c r="C36" s="23">
        <f>SUM(C6:C35)</f>
        <v>211869</v>
      </c>
      <c r="D36" s="23">
        <f>SUM(D6:D35)</f>
        <v>197424</v>
      </c>
      <c r="E36" s="24">
        <f>SUM(E6:E35)</f>
        <v>409293</v>
      </c>
    </row>
    <row r="39" spans="1:5" ht="14.4" thickBot="1" x14ac:dyDescent="0.3"/>
    <row r="40" spans="1:5" ht="14.4" thickBot="1" x14ac:dyDescent="0.3">
      <c r="A40" s="31" t="s">
        <v>13</v>
      </c>
      <c r="B40" s="32"/>
      <c r="C40" s="32"/>
      <c r="D40" s="33"/>
      <c r="E40" s="8">
        <f>E36</f>
        <v>409293</v>
      </c>
    </row>
  </sheetData>
  <mergeCells count="3">
    <mergeCell ref="A4:E4"/>
    <mergeCell ref="A36:B36"/>
    <mergeCell ref="A40:D40"/>
  </mergeCells>
  <pageMargins left="0.7" right="0.7" top="0.75" bottom="0.75" header="0.3" footer="0.3"/>
  <pageSetup orientation="portrait" r:id="rId1"/>
  <ignoredErrors>
    <ignoredError sqref="E6:E3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"/>
  <sheetViews>
    <sheetView topLeftCell="A10" workbookViewId="0">
      <selection activeCell="A35" sqref="A35"/>
    </sheetView>
  </sheetViews>
  <sheetFormatPr defaultColWidth="9.109375" defaultRowHeight="13.8" x14ac:dyDescent="0.25"/>
  <cols>
    <col min="1" max="6" width="12.6640625" style="2" customWidth="1"/>
    <col min="7" max="8" width="9.109375" style="2"/>
    <col min="9" max="9" width="11" style="2" bestFit="1" customWidth="1"/>
    <col min="10" max="16384" width="9.109375" style="2"/>
  </cols>
  <sheetData>
    <row r="1" spans="1:6" ht="14.4" thickBot="1" x14ac:dyDescent="0.3"/>
    <row r="2" spans="1:6" x14ac:dyDescent="0.25">
      <c r="A2" s="38" t="s">
        <v>5</v>
      </c>
      <c r="B2" s="39"/>
      <c r="C2" s="39"/>
      <c r="D2" s="39"/>
      <c r="E2" s="40"/>
    </row>
    <row r="3" spans="1:6" ht="35.25" customHeight="1" x14ac:dyDescent="0.25">
      <c r="A3" s="15" t="s">
        <v>0</v>
      </c>
      <c r="B3" s="5" t="s">
        <v>1</v>
      </c>
      <c r="C3" s="5" t="s">
        <v>2</v>
      </c>
      <c r="D3" s="5" t="s">
        <v>3</v>
      </c>
      <c r="E3" s="16" t="s">
        <v>4</v>
      </c>
      <c r="F3" s="3"/>
    </row>
    <row r="4" spans="1:6" x14ac:dyDescent="0.25">
      <c r="A4" s="17" t="str">
        <f>CHOOSE(WEEKDAY(B4),"SUN","MON","TUE","WED","THU","FRI","SAT")</f>
        <v>MON</v>
      </c>
      <c r="B4" s="9">
        <v>43983</v>
      </c>
      <c r="C4" s="10">
        <v>6280</v>
      </c>
      <c r="D4" s="10">
        <v>5815</v>
      </c>
      <c r="E4" s="18">
        <f>SUM(C4:D4)</f>
        <v>12095</v>
      </c>
    </row>
    <row r="5" spans="1:6" x14ac:dyDescent="0.25">
      <c r="A5" s="17" t="str">
        <f t="shared" ref="A5:A8" si="0">CHOOSE(WEEKDAY(B5),"SUN","MON","TUE","WED","THU","FRI","SAT")</f>
        <v>TUE</v>
      </c>
      <c r="B5" s="9">
        <v>43984</v>
      </c>
      <c r="C5" s="10">
        <v>6462</v>
      </c>
      <c r="D5" s="10">
        <v>5482</v>
      </c>
      <c r="E5" s="18">
        <f t="shared" ref="E5:E25" si="1">SUM(C5:D5)</f>
        <v>11944</v>
      </c>
    </row>
    <row r="6" spans="1:6" x14ac:dyDescent="0.25">
      <c r="A6" s="17" t="str">
        <f t="shared" si="0"/>
        <v>WED</v>
      </c>
      <c r="B6" s="9">
        <v>43985</v>
      </c>
      <c r="C6" s="10">
        <v>5678</v>
      </c>
      <c r="D6" s="10">
        <v>5359</v>
      </c>
      <c r="E6" s="18">
        <f t="shared" si="1"/>
        <v>11037</v>
      </c>
    </row>
    <row r="7" spans="1:6" x14ac:dyDescent="0.25">
      <c r="A7" s="17" t="str">
        <f t="shared" si="0"/>
        <v>THU</v>
      </c>
      <c r="B7" s="9">
        <v>43986</v>
      </c>
      <c r="C7" s="10">
        <v>6006</v>
      </c>
      <c r="D7" s="10">
        <v>5621</v>
      </c>
      <c r="E7" s="18">
        <f t="shared" si="1"/>
        <v>11627</v>
      </c>
    </row>
    <row r="8" spans="1:6" x14ac:dyDescent="0.25">
      <c r="A8" s="17" t="str">
        <f t="shared" si="0"/>
        <v>FRI</v>
      </c>
      <c r="B8" s="9">
        <v>43987</v>
      </c>
      <c r="C8" s="10">
        <v>5697</v>
      </c>
      <c r="D8" s="10">
        <v>5423</v>
      </c>
      <c r="E8" s="18">
        <f t="shared" si="1"/>
        <v>11120</v>
      </c>
    </row>
    <row r="9" spans="1:6" x14ac:dyDescent="0.25">
      <c r="A9" s="17" t="str">
        <f t="shared" ref="A9:A25" si="2">CHOOSE(WEEKDAY(B9),"SUN","MON","TUE","WED","THU","FRI","SAT")</f>
        <v>MON</v>
      </c>
      <c r="B9" s="9">
        <v>43990</v>
      </c>
      <c r="C9" s="10">
        <v>6938</v>
      </c>
      <c r="D9" s="10">
        <v>6595</v>
      </c>
      <c r="E9" s="18">
        <f t="shared" si="1"/>
        <v>13533</v>
      </c>
    </row>
    <row r="10" spans="1:6" x14ac:dyDescent="0.25">
      <c r="A10" s="17" t="str">
        <f t="shared" si="2"/>
        <v>TUE</v>
      </c>
      <c r="B10" s="9">
        <v>43991</v>
      </c>
      <c r="C10" s="10">
        <v>7267</v>
      </c>
      <c r="D10" s="10">
        <v>6794</v>
      </c>
      <c r="E10" s="18">
        <f t="shared" si="1"/>
        <v>14061</v>
      </c>
    </row>
    <row r="11" spans="1:6" x14ac:dyDescent="0.25">
      <c r="A11" s="17" t="str">
        <f t="shared" si="2"/>
        <v>WED</v>
      </c>
      <c r="B11" s="9">
        <v>43992</v>
      </c>
      <c r="C11" s="10">
        <v>7526</v>
      </c>
      <c r="D11" s="10">
        <v>7038</v>
      </c>
      <c r="E11" s="18">
        <f t="shared" si="1"/>
        <v>14564</v>
      </c>
    </row>
    <row r="12" spans="1:6" x14ac:dyDescent="0.25">
      <c r="A12" s="17" t="str">
        <f t="shared" si="2"/>
        <v>THU</v>
      </c>
      <c r="B12" s="9">
        <v>43993</v>
      </c>
      <c r="C12" s="10">
        <v>6632</v>
      </c>
      <c r="D12" s="10">
        <v>6225</v>
      </c>
      <c r="E12" s="18">
        <f t="shared" si="1"/>
        <v>12857</v>
      </c>
    </row>
    <row r="13" spans="1:6" x14ac:dyDescent="0.25">
      <c r="A13" s="17" t="str">
        <f t="shared" si="2"/>
        <v>FRI</v>
      </c>
      <c r="B13" s="9">
        <v>43994</v>
      </c>
      <c r="C13" s="10">
        <v>7785</v>
      </c>
      <c r="D13" s="10">
        <v>7368</v>
      </c>
      <c r="E13" s="18">
        <f t="shared" si="1"/>
        <v>15153</v>
      </c>
    </row>
    <row r="14" spans="1:6" x14ac:dyDescent="0.25">
      <c r="A14" s="17" t="str">
        <f t="shared" si="2"/>
        <v>MON</v>
      </c>
      <c r="B14" s="9">
        <v>43997</v>
      </c>
      <c r="C14" s="10">
        <v>7560</v>
      </c>
      <c r="D14" s="10">
        <v>7197</v>
      </c>
      <c r="E14" s="18">
        <f t="shared" si="1"/>
        <v>14757</v>
      </c>
    </row>
    <row r="15" spans="1:6" x14ac:dyDescent="0.25">
      <c r="A15" s="17" t="str">
        <f t="shared" si="2"/>
        <v>TUE</v>
      </c>
      <c r="B15" s="9">
        <v>43998</v>
      </c>
      <c r="C15" s="10">
        <v>7791</v>
      </c>
      <c r="D15" s="10">
        <v>7371</v>
      </c>
      <c r="E15" s="18">
        <f t="shared" si="1"/>
        <v>15162</v>
      </c>
    </row>
    <row r="16" spans="1:6" x14ac:dyDescent="0.25">
      <c r="A16" s="17" t="str">
        <f t="shared" si="2"/>
        <v>WED</v>
      </c>
      <c r="B16" s="9">
        <v>43999</v>
      </c>
      <c r="C16" s="10">
        <v>7953</v>
      </c>
      <c r="D16" s="10">
        <v>7497</v>
      </c>
      <c r="E16" s="18">
        <f t="shared" si="1"/>
        <v>15450</v>
      </c>
    </row>
    <row r="17" spans="1:5" x14ac:dyDescent="0.25">
      <c r="A17" s="17" t="str">
        <f t="shared" si="2"/>
        <v>THU</v>
      </c>
      <c r="B17" s="9">
        <v>44000</v>
      </c>
      <c r="C17" s="10">
        <v>7828</v>
      </c>
      <c r="D17" s="10">
        <v>7369</v>
      </c>
      <c r="E17" s="18">
        <f t="shared" si="1"/>
        <v>15197</v>
      </c>
    </row>
    <row r="18" spans="1:5" x14ac:dyDescent="0.25">
      <c r="A18" s="17" t="str">
        <f t="shared" si="2"/>
        <v>FRI</v>
      </c>
      <c r="B18" s="9">
        <v>44001</v>
      </c>
      <c r="C18" s="10">
        <v>8395</v>
      </c>
      <c r="D18" s="10">
        <v>7968</v>
      </c>
      <c r="E18" s="18">
        <f t="shared" si="1"/>
        <v>16363</v>
      </c>
    </row>
    <row r="19" spans="1:5" x14ac:dyDescent="0.25">
      <c r="A19" s="17" t="str">
        <f t="shared" si="2"/>
        <v>MON</v>
      </c>
      <c r="B19" s="9">
        <v>44004</v>
      </c>
      <c r="C19" s="10">
        <v>8435</v>
      </c>
      <c r="D19" s="10">
        <v>8160</v>
      </c>
      <c r="E19" s="18">
        <f t="shared" si="1"/>
        <v>16595</v>
      </c>
    </row>
    <row r="20" spans="1:5" x14ac:dyDescent="0.25">
      <c r="A20" s="17" t="str">
        <f t="shared" si="2"/>
        <v>TUE</v>
      </c>
      <c r="B20" s="9">
        <v>44005</v>
      </c>
      <c r="C20" s="10">
        <v>8675</v>
      </c>
      <c r="D20" s="10">
        <v>8096</v>
      </c>
      <c r="E20" s="18">
        <f t="shared" si="1"/>
        <v>16771</v>
      </c>
    </row>
    <row r="21" spans="1:5" x14ac:dyDescent="0.25">
      <c r="A21" s="17" t="str">
        <f t="shared" si="2"/>
        <v>WED</v>
      </c>
      <c r="B21" s="9">
        <v>44006</v>
      </c>
      <c r="C21" s="10">
        <v>8721</v>
      </c>
      <c r="D21" s="10">
        <v>8231</v>
      </c>
      <c r="E21" s="18">
        <f t="shared" si="1"/>
        <v>16952</v>
      </c>
    </row>
    <row r="22" spans="1:5" x14ac:dyDescent="0.25">
      <c r="A22" s="17" t="str">
        <f t="shared" si="2"/>
        <v>THU</v>
      </c>
      <c r="B22" s="9">
        <v>44007</v>
      </c>
      <c r="C22" s="10">
        <v>8927</v>
      </c>
      <c r="D22" s="10">
        <v>8340</v>
      </c>
      <c r="E22" s="18">
        <f t="shared" si="1"/>
        <v>17267</v>
      </c>
    </row>
    <row r="23" spans="1:5" x14ac:dyDescent="0.25">
      <c r="A23" s="17" t="str">
        <f t="shared" si="2"/>
        <v>FRI</v>
      </c>
      <c r="B23" s="9">
        <v>44008</v>
      </c>
      <c r="C23" s="10">
        <v>9183</v>
      </c>
      <c r="D23" s="10">
        <v>8596</v>
      </c>
      <c r="E23" s="18">
        <f t="shared" si="1"/>
        <v>17779</v>
      </c>
    </row>
    <row r="24" spans="1:5" x14ac:dyDescent="0.25">
      <c r="A24" s="17" t="str">
        <f t="shared" si="2"/>
        <v>MON</v>
      </c>
      <c r="B24" s="9">
        <v>44011</v>
      </c>
      <c r="C24" s="10">
        <v>9047</v>
      </c>
      <c r="D24" s="10">
        <v>8619</v>
      </c>
      <c r="E24" s="18">
        <f t="shared" si="1"/>
        <v>17666</v>
      </c>
    </row>
    <row r="25" spans="1:5" x14ac:dyDescent="0.25">
      <c r="A25" s="17" t="str">
        <f t="shared" si="2"/>
        <v>TUE</v>
      </c>
      <c r="B25" s="9">
        <v>44012</v>
      </c>
      <c r="C25" s="10">
        <v>9054</v>
      </c>
      <c r="D25" s="10">
        <v>8470</v>
      </c>
      <c r="E25" s="18">
        <f t="shared" si="1"/>
        <v>17524</v>
      </c>
    </row>
    <row r="26" spans="1:5" ht="14.4" thickBot="1" x14ac:dyDescent="0.3">
      <c r="A26" s="34" t="s">
        <v>6</v>
      </c>
      <c r="B26" s="35"/>
      <c r="C26" s="19">
        <f>SUM(C4:C25)</f>
        <v>167840</v>
      </c>
      <c r="D26" s="19">
        <f>SUM(D4:D25)</f>
        <v>157634</v>
      </c>
      <c r="E26" s="14">
        <f>SUM(E4:E25)</f>
        <v>325474</v>
      </c>
    </row>
    <row r="27" spans="1:5" ht="14.4" thickBot="1" x14ac:dyDescent="0.3"/>
    <row r="28" spans="1:5" x14ac:dyDescent="0.25">
      <c r="A28" s="36" t="s">
        <v>7</v>
      </c>
      <c r="B28" s="37"/>
      <c r="C28" s="37"/>
      <c r="D28" s="37"/>
      <c r="E28" s="11">
        <f>E26</f>
        <v>325474</v>
      </c>
    </row>
    <row r="29" spans="1:5" ht="14.4" thickBot="1" x14ac:dyDescent="0.3">
      <c r="A29" s="34" t="s">
        <v>8</v>
      </c>
      <c r="B29" s="35"/>
      <c r="C29" s="35"/>
      <c r="D29" s="35"/>
      <c r="E29" s="12">
        <f>AVERAGE(E4:E25)</f>
        <v>14794.272727272728</v>
      </c>
    </row>
    <row r="33" spans="1:5" ht="14.4" thickBot="1" x14ac:dyDescent="0.3"/>
    <row r="34" spans="1:5" x14ac:dyDescent="0.25">
      <c r="A34" s="38" t="s">
        <v>9</v>
      </c>
      <c r="B34" s="39"/>
      <c r="C34" s="39"/>
      <c r="D34" s="39"/>
      <c r="E34" s="40"/>
    </row>
    <row r="35" spans="1:5" ht="27.6" x14ac:dyDescent="0.25">
      <c r="A35" s="20" t="s">
        <v>0</v>
      </c>
      <c r="B35" s="13" t="s">
        <v>1</v>
      </c>
      <c r="C35" s="13" t="s">
        <v>2</v>
      </c>
      <c r="D35" s="13" t="s">
        <v>3</v>
      </c>
      <c r="E35" s="16" t="s">
        <v>4</v>
      </c>
    </row>
    <row r="36" spans="1:5" x14ac:dyDescent="0.25">
      <c r="A36" s="17" t="str">
        <f t="shared" ref="A36:A43" si="3">CHOOSE(WEEKDAY(B36),"SUN","MON","TUE","WED","THU","FRI","SAT")</f>
        <v>SAT</v>
      </c>
      <c r="B36" s="9">
        <v>43988</v>
      </c>
      <c r="C36" s="10">
        <v>4449</v>
      </c>
      <c r="D36" s="10">
        <v>4104</v>
      </c>
      <c r="E36" s="18">
        <f>SUM(C36:D36)</f>
        <v>8553</v>
      </c>
    </row>
    <row r="37" spans="1:5" x14ac:dyDescent="0.25">
      <c r="A37" s="17" t="str">
        <f t="shared" si="3"/>
        <v>SUN</v>
      </c>
      <c r="B37" s="9">
        <v>43989</v>
      </c>
      <c r="C37" s="10">
        <v>4324</v>
      </c>
      <c r="D37" s="10">
        <v>3926</v>
      </c>
      <c r="E37" s="18">
        <f t="shared" ref="E37:E43" si="4">SUM(C37:D37)</f>
        <v>8250</v>
      </c>
    </row>
    <row r="38" spans="1:5" x14ac:dyDescent="0.25">
      <c r="A38" s="17" t="str">
        <f t="shared" si="3"/>
        <v>SAT</v>
      </c>
      <c r="B38" s="9">
        <v>43995</v>
      </c>
      <c r="C38" s="10">
        <v>6033</v>
      </c>
      <c r="D38" s="10">
        <v>5420</v>
      </c>
      <c r="E38" s="18">
        <f t="shared" si="4"/>
        <v>11453</v>
      </c>
    </row>
    <row r="39" spans="1:5" x14ac:dyDescent="0.25">
      <c r="A39" s="17" t="str">
        <f t="shared" si="3"/>
        <v>SUN</v>
      </c>
      <c r="B39" s="9">
        <v>43996</v>
      </c>
      <c r="C39" s="10">
        <v>5242</v>
      </c>
      <c r="D39" s="10">
        <v>4854</v>
      </c>
      <c r="E39" s="18">
        <f t="shared" si="4"/>
        <v>10096</v>
      </c>
    </row>
    <row r="40" spans="1:5" x14ac:dyDescent="0.25">
      <c r="A40" s="17" t="str">
        <f t="shared" si="3"/>
        <v>SAT</v>
      </c>
      <c r="B40" s="9">
        <v>44002</v>
      </c>
      <c r="C40" s="10">
        <v>6149</v>
      </c>
      <c r="D40" s="10">
        <v>5681</v>
      </c>
      <c r="E40" s="18">
        <f t="shared" si="4"/>
        <v>11830</v>
      </c>
    </row>
    <row r="41" spans="1:5" x14ac:dyDescent="0.25">
      <c r="A41" s="17" t="str">
        <f t="shared" si="3"/>
        <v>SUN</v>
      </c>
      <c r="B41" s="9">
        <v>44003</v>
      </c>
      <c r="C41" s="10">
        <v>5773</v>
      </c>
      <c r="D41" s="10">
        <v>4969</v>
      </c>
      <c r="E41" s="18">
        <f t="shared" si="4"/>
        <v>10742</v>
      </c>
    </row>
    <row r="42" spans="1:5" x14ac:dyDescent="0.25">
      <c r="A42" s="17" t="str">
        <f t="shared" si="3"/>
        <v>SAT</v>
      </c>
      <c r="B42" s="9">
        <v>44009</v>
      </c>
      <c r="C42" s="10">
        <v>6118</v>
      </c>
      <c r="D42" s="10">
        <v>5500</v>
      </c>
      <c r="E42" s="18">
        <f t="shared" si="4"/>
        <v>11618</v>
      </c>
    </row>
    <row r="43" spans="1:5" x14ac:dyDescent="0.25">
      <c r="A43" s="17" t="str">
        <f t="shared" si="3"/>
        <v>SUN</v>
      </c>
      <c r="B43" s="9">
        <v>44010</v>
      </c>
      <c r="C43" s="10">
        <v>5941</v>
      </c>
      <c r="D43" s="10">
        <v>5336</v>
      </c>
      <c r="E43" s="18">
        <f t="shared" si="4"/>
        <v>11277</v>
      </c>
    </row>
    <row r="44" spans="1:5" ht="14.4" thickBot="1" x14ac:dyDescent="0.3">
      <c r="A44" s="34" t="s">
        <v>6</v>
      </c>
      <c r="B44" s="35"/>
      <c r="C44" s="19">
        <f>SUM(C36:C43)</f>
        <v>44029</v>
      </c>
      <c r="D44" s="19">
        <f>SUM(D36:D43)</f>
        <v>39790</v>
      </c>
      <c r="E44" s="14">
        <f>SUM(E36:E43)</f>
        <v>83819</v>
      </c>
    </row>
    <row r="45" spans="1:5" ht="14.4" thickBot="1" x14ac:dyDescent="0.3">
      <c r="A45" s="4"/>
      <c r="B45" s="4"/>
      <c r="C45" s="4"/>
      <c r="D45" s="4"/>
      <c r="E45" s="4"/>
    </row>
    <row r="46" spans="1:5" x14ac:dyDescent="0.25">
      <c r="A46" s="36" t="s">
        <v>10</v>
      </c>
      <c r="B46" s="37"/>
      <c r="C46" s="37"/>
      <c r="D46" s="37"/>
      <c r="E46" s="25">
        <f>AVERAGE(E36,E38,E40,E42)</f>
        <v>10863.5</v>
      </c>
    </row>
    <row r="47" spans="1:5" ht="14.4" thickBot="1" x14ac:dyDescent="0.3">
      <c r="A47" s="34" t="s">
        <v>11</v>
      </c>
      <c r="B47" s="35"/>
      <c r="C47" s="35"/>
      <c r="D47" s="35"/>
      <c r="E47" s="12">
        <f>AVERAGE(E37,E39,E41,E43)</f>
        <v>10091.25</v>
      </c>
    </row>
  </sheetData>
  <mergeCells count="8">
    <mergeCell ref="A44:B44"/>
    <mergeCell ref="A46:D46"/>
    <mergeCell ref="A47:D47"/>
    <mergeCell ref="A2:E2"/>
    <mergeCell ref="A26:B26"/>
    <mergeCell ref="A28:D28"/>
    <mergeCell ref="A29:D29"/>
    <mergeCell ref="A34:E34"/>
  </mergeCells>
  <pageMargins left="0.7" right="0.7" top="0.75" bottom="0.75" header="0.3" footer="0.3"/>
  <ignoredErrors>
    <ignoredError sqref="E4:E22 E23:E25 E36:E4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9" ma:contentTypeDescription="Create a new document." ma:contentTypeScope="" ma:versionID="08fbae0c7f9a8e2444046f9c4a1f6255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eee80be5f8846f68db7a88c41e92a792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127249F-9F60-447A-95CC-5F52FF5F41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68CDE8-B9AD-452A-9D11-CD558BCA3E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AE0AFE-4722-471D-A63B-3AF3B6A0572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WEEKDAY-WEEKEND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James-Young, Jean</dc:creator>
  <cp:lastModifiedBy>Lucy Santana</cp:lastModifiedBy>
  <dcterms:created xsi:type="dcterms:W3CDTF">2020-06-26T16:56:30Z</dcterms:created>
  <dcterms:modified xsi:type="dcterms:W3CDTF">2026-04-07T23:52:50Z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