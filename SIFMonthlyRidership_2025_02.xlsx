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9EDC976A-8DD9-4B9A-BA35-17491FC03248}" xr6:coauthVersionLast="47" xr6:coauthVersionMax="47" xr10:uidLastSave="{00000000-0000-0000-0000-000000000000}"/>
  <bookViews>
    <workbookView xWindow="-108" yWindow="-108" windowWidth="23256" windowHeight="13896" xr2:uid="{CBE3FB86-F586-4905-8373-4D3B862C56B7}"/>
  </bookViews>
  <sheets>
    <sheet name="TOTALS" sheetId="1" r:id="rId1"/>
    <sheet name="Weekday-Week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7" i="1"/>
  <c r="C25" i="3"/>
  <c r="E22" i="3"/>
  <c r="D25" i="3"/>
  <c r="E44" i="3"/>
  <c r="E17" i="3"/>
  <c r="D45" i="3"/>
  <c r="E14" i="3"/>
  <c r="C35" i="1"/>
  <c r="E10" i="3"/>
  <c r="E40" i="3"/>
  <c r="E39" i="3"/>
  <c r="E41" i="3"/>
  <c r="E43" i="3"/>
  <c r="A42" i="3"/>
  <c r="A41" i="3"/>
  <c r="E8" i="3"/>
  <c r="E6" i="3"/>
  <c r="E38" i="3"/>
  <c r="E37" i="3"/>
  <c r="A38" i="3"/>
  <c r="E9" i="3"/>
  <c r="E18" i="3"/>
  <c r="E15" i="3"/>
  <c r="E16" i="3"/>
  <c r="D35" i="1"/>
  <c r="E13" i="3"/>
  <c r="E12" i="3"/>
  <c r="A44" i="3"/>
  <c r="A43" i="3"/>
  <c r="A40" i="3"/>
  <c r="A39" i="3"/>
  <c r="A37" i="3"/>
  <c r="E21" i="3"/>
  <c r="E7" i="3"/>
  <c r="E19" i="3"/>
  <c r="E23" i="3"/>
  <c r="E24" i="3"/>
  <c r="E11" i="3"/>
  <c r="E42" i="3"/>
  <c r="C45" i="3"/>
  <c r="E20" i="3"/>
  <c r="E45" i="3" l="1"/>
  <c r="E47" i="3" s="1"/>
  <c r="E25" i="3"/>
  <c r="E27" i="3" s="1"/>
  <c r="E50" i="3"/>
  <c r="E28" i="3"/>
  <c r="E49" i="3"/>
</calcChain>
</file>

<file path=xl/sharedStrings.xml><?xml version="1.0" encoding="utf-8"?>
<sst xmlns="http://schemas.openxmlformats.org/spreadsheetml/2006/main" count="83" uniqueCount="28">
  <si>
    <t>Day</t>
  </si>
  <si>
    <t>Date</t>
  </si>
  <si>
    <t>TOTALS:</t>
  </si>
  <si>
    <t>WHT</t>
  </si>
  <si>
    <t>STG</t>
  </si>
  <si>
    <t xml:space="preserve">Average Saturday Passengers: </t>
  </si>
  <si>
    <t xml:space="preserve">Average Sunday Passengers: </t>
  </si>
  <si>
    <t xml:space="preserve">Average Passengers/Weekday: </t>
  </si>
  <si>
    <t xml:space="preserve">PASSENGER COUNT TOTAL:  </t>
  </si>
  <si>
    <t>Combined TOTAL</t>
  </si>
  <si>
    <t>MON</t>
  </si>
  <si>
    <t>WED</t>
  </si>
  <si>
    <t>FRI</t>
  </si>
  <si>
    <t>THU</t>
  </si>
  <si>
    <t>TUE</t>
  </si>
  <si>
    <t>.</t>
  </si>
  <si>
    <t>SAT</t>
  </si>
  <si>
    <t>SUN</t>
  </si>
  <si>
    <t>Presidents' Day</t>
  </si>
  <si>
    <t>Superbowl Sunday</t>
  </si>
  <si>
    <t>Valentine's Day</t>
  </si>
  <si>
    <t>Superbowl</t>
  </si>
  <si>
    <t xml:space="preserve">       February 2025 Staten Island Ferry Ridership</t>
  </si>
  <si>
    <t xml:space="preserve">February 2025:  WEEKDAY TOTALS </t>
  </si>
  <si>
    <t xml:space="preserve">Total Weekday Pax Count February 2025: </t>
  </si>
  <si>
    <t xml:space="preserve">February 2025:  WEEKEND TOTALS </t>
  </si>
  <si>
    <t xml:space="preserve">Total Weekend Pax Count February 2025: 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</si>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</sst>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11"/>
      <name val="Calibri"/>
      <family val="2"/>
    </font>
    <font>
      <sz val="8"/>
      <name val="Arial"/>
      <family val="2"/>
    </font>
    <font>
      <i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right"/>
    </xf>
    <xf numFmtId="4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center"/>
    </xf>
    <xf numFmtId="41" fontId="4" fillId="2" borderId="1" xfId="0" applyNumberFormat="1" applyFont="1" applyFill="1" applyBorder="1" applyAlignment="1">
      <alignment horizontal="center"/>
    </xf>
    <xf numFmtId="37" fontId="4" fillId="2" borderId="1" xfId="0" applyNumberFormat="1" applyFont="1" applyFill="1" applyBorder="1" applyAlignment="1">
      <alignment horizontal="right"/>
    </xf>
    <xf numFmtId="37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right"/>
    </xf>
    <xf numFmtId="164" fontId="7" fillId="0" borderId="1" xfId="1" applyNumberFormat="1" applyFont="1" applyBorder="1" applyAlignment="1"/>
    <xf numFmtId="164" fontId="7" fillId="0" borderId="1" xfId="1" applyNumberFormat="1" applyFont="1" applyBorder="1" applyAlignment="1">
      <alignment horizontal="left"/>
    </xf>
    <xf numFmtId="41" fontId="4" fillId="2" borderId="1" xfId="0" applyNumberFormat="1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7" fillId="0" borderId="1" xfId="1" applyNumberFormat="1" applyFont="1" applyBorder="1" applyAlignment="1">
      <alignment vertical="center"/>
    </xf>
    <xf numFmtId="41" fontId="4" fillId="2" borderId="2" xfId="0" applyNumberFormat="1" applyFont="1" applyFill="1" applyBorder="1" applyAlignment="1">
      <alignment vertical="center"/>
    </xf>
    <xf numFmtId="41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41" fontId="4" fillId="2" borderId="3" xfId="0" applyNumberFormat="1" applyFont="1" applyFill="1" applyBorder="1" applyAlignment="1">
      <alignment vertical="center"/>
    </xf>
    <xf numFmtId="164" fontId="7" fillId="0" borderId="1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164" fontId="8" fillId="0" borderId="1" xfId="1" applyNumberFormat="1" applyFont="1" applyBorder="1" applyAlignment="1">
      <alignment horizontal="right"/>
    </xf>
    <xf numFmtId="164" fontId="3" fillId="0" borderId="1" xfId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Fill="1" applyBorder="1" applyAlignment="1">
      <alignment horizontal="right"/>
    </xf>
    <xf numFmtId="164" fontId="7" fillId="0" borderId="1" xfId="1" applyNumberFormat="1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right" vertical="center"/>
    </xf>
    <xf numFmtId="164" fontId="3" fillId="0" borderId="1" xfId="1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17" fontId="5" fillId="3" borderId="4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3" fillId="0" borderId="8" xfId="0" applyFont="1" applyBorder="1"/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/>
    </xf>
    <xf numFmtId="14" fontId="4" fillId="2" borderId="12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41" fontId="4" fillId="2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/>
    </xf>
    <xf numFmtId="14" fontId="4" fillId="2" borderId="13" xfId="0" applyNumberFormat="1" applyFont="1" applyFill="1" applyBorder="1" applyAlignment="1">
      <alignment horizontal="center"/>
    </xf>
    <xf numFmtId="14" fontId="4" fillId="2" borderId="14" xfId="0" applyNumberFormat="1" applyFont="1" applyFill="1" applyBorder="1" applyAlignment="1">
      <alignment horizontal="center"/>
    </xf>
    <xf numFmtId="41" fontId="4" fillId="2" borderId="0" xfId="0" applyNumberFormat="1" applyFont="1" applyFill="1" applyBorder="1" applyAlignment="1">
      <alignment horizontal="right"/>
    </xf>
    <xf numFmtId="37" fontId="4" fillId="2" borderId="0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190500</xdr:colOff>
      <xdr:row>2</xdr:row>
      <xdr:rowOff>152400</xdr:rowOff>
    </xdr:to>
    <xdr:pic>
      <xdr:nvPicPr>
        <xdr:cNvPr id="4260" name="Picture 31" descr="DOT%20Logo_green">
          <a:extLst>
            <a:ext uri="{FF2B5EF4-FFF2-40B4-BE49-F238E27FC236}">
              <a16:creationId xmlns:a16="http://schemas.microsoft.com/office/drawing/2014/main" id="{67BD65B1-E685-1595-107A-A3088C050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0D02-C1A0-4897-B924-3CDF273EA55D}">
  <dimension ref="A1:F37"/>
  <sheetViews>
    <sheetView tabSelected="1" workbookViewId="0">
      <selection activeCell="A5" sqref="A5:A6"/>
    </sheetView>
  </sheetViews>
  <sheetFormatPr defaultColWidth="9.109375" defaultRowHeight="13.2" x14ac:dyDescent="0.25"/>
  <cols>
    <col min="1" max="1" width="9.109375" style="1" customWidth="1"/>
    <col min="2" max="2" width="13.44140625" style="1" customWidth="1"/>
    <col min="3" max="4" width="12.33203125" style="15" customWidth="1"/>
    <col min="5" max="5" width="16.33203125" style="15" customWidth="1"/>
    <col min="6" max="6" width="19.33203125" style="33" customWidth="1"/>
    <col min="7" max="8" width="9.109375" style="1"/>
    <col min="9" max="9" width="9.6640625" style="1" bestFit="1" customWidth="1"/>
    <col min="10" max="16384" width="9.109375" style="1"/>
  </cols>
  <sheetData>
    <row r="1" spans="1:6" ht="12.75" customHeight="1" x14ac:dyDescent="0.25"/>
    <row r="2" spans="1:6" x14ac:dyDescent="0.25">
      <c r="A2" s="2"/>
      <c r="B2" s="2" t="s">
        <v>22</v>
      </c>
      <c r="C2" s="16"/>
      <c r="D2" s="16"/>
      <c r="E2" s="16"/>
    </row>
    <row r="3" spans="1:6" ht="15" customHeight="1" thickBot="1" x14ac:dyDescent="0.3"/>
    <row r="4" spans="1:6" x14ac:dyDescent="0.25">
      <c r="A4" s="34">
        <v>45689</v>
      </c>
      <c r="B4" s="35"/>
      <c r="C4" s="35"/>
      <c r="D4" s="35"/>
      <c r="E4" s="35"/>
    </row>
    <row r="5" spans="1:6" x14ac:dyDescent="0.25">
      <c r="A5" s="38" t="s">
        <v>0</v>
      </c>
      <c r="B5" s="40" t="s">
        <v>1</v>
      </c>
      <c r="C5" s="42" t="s">
        <v>3</v>
      </c>
      <c r="D5" s="40" t="s">
        <v>4</v>
      </c>
      <c r="E5" s="44" t="s">
        <v>9</v>
      </c>
    </row>
    <row r="6" spans="1:6" x14ac:dyDescent="0.25">
      <c r="A6" s="39"/>
      <c r="B6" s="41"/>
      <c r="C6" s="43"/>
      <c r="D6" s="43"/>
      <c r="E6" s="45"/>
    </row>
    <row r="7" spans="1:6" x14ac:dyDescent="0.25">
      <c r="A7" s="10" t="s">
        <v>16</v>
      </c>
      <c r="B7" s="6">
        <v>45689</v>
      </c>
      <c r="C7" s="31">
        <v>15502</v>
      </c>
      <c r="D7" s="31">
        <v>15617</v>
      </c>
      <c r="E7" s="28">
        <v>31119</v>
      </c>
    </row>
    <row r="8" spans="1:6" x14ac:dyDescent="0.25">
      <c r="A8" s="10" t="s">
        <v>17</v>
      </c>
      <c r="B8" s="6">
        <v>45690</v>
      </c>
      <c r="C8" s="31">
        <v>12081</v>
      </c>
      <c r="D8" s="31">
        <v>11236</v>
      </c>
      <c r="E8" s="28">
        <v>23317</v>
      </c>
    </row>
    <row r="9" spans="1:6" x14ac:dyDescent="0.25">
      <c r="A9" s="10" t="s">
        <v>10</v>
      </c>
      <c r="B9" s="6">
        <v>45691</v>
      </c>
      <c r="C9" s="23">
        <v>20277</v>
      </c>
      <c r="D9" s="23">
        <v>20329</v>
      </c>
      <c r="E9" s="28">
        <v>40606</v>
      </c>
    </row>
    <row r="10" spans="1:6" x14ac:dyDescent="0.25">
      <c r="A10" s="10" t="s">
        <v>14</v>
      </c>
      <c r="B10" s="6">
        <v>45692</v>
      </c>
      <c r="C10" s="29">
        <v>21003</v>
      </c>
      <c r="D10" s="29">
        <v>20936</v>
      </c>
      <c r="E10" s="30">
        <v>41939</v>
      </c>
    </row>
    <row r="11" spans="1:6" x14ac:dyDescent="0.25">
      <c r="A11" s="10" t="s">
        <v>11</v>
      </c>
      <c r="B11" s="6">
        <v>45693</v>
      </c>
      <c r="C11" s="22">
        <v>20333</v>
      </c>
      <c r="D11" s="22">
        <v>20074</v>
      </c>
      <c r="E11" s="28">
        <v>40407</v>
      </c>
    </row>
    <row r="12" spans="1:6" x14ac:dyDescent="0.25">
      <c r="A12" s="10" t="s">
        <v>13</v>
      </c>
      <c r="B12" s="6">
        <v>45694</v>
      </c>
      <c r="C12" s="17">
        <v>16639</v>
      </c>
      <c r="D12" s="17">
        <v>16525</v>
      </c>
      <c r="E12" s="25">
        <v>33164</v>
      </c>
    </row>
    <row r="13" spans="1:6" x14ac:dyDescent="0.25">
      <c r="A13" s="10" t="s">
        <v>12</v>
      </c>
      <c r="B13" s="6">
        <v>45695</v>
      </c>
      <c r="C13" s="17">
        <v>21383</v>
      </c>
      <c r="D13" s="17">
        <v>21599</v>
      </c>
      <c r="E13" s="25">
        <v>42982</v>
      </c>
    </row>
    <row r="14" spans="1:6" x14ac:dyDescent="0.25">
      <c r="A14" s="10" t="s">
        <v>16</v>
      </c>
      <c r="B14" s="6">
        <v>45696</v>
      </c>
      <c r="C14" s="17">
        <v>14265</v>
      </c>
      <c r="D14" s="17">
        <v>14124</v>
      </c>
      <c r="E14" s="25">
        <v>28389</v>
      </c>
    </row>
    <row r="15" spans="1:6" x14ac:dyDescent="0.25">
      <c r="A15" s="10" t="s">
        <v>17</v>
      </c>
      <c r="B15" s="6">
        <v>45697</v>
      </c>
      <c r="C15" s="17">
        <v>10653</v>
      </c>
      <c r="D15" s="17">
        <v>9747</v>
      </c>
      <c r="E15" s="25">
        <v>20400</v>
      </c>
      <c r="F15" s="33" t="s">
        <v>19</v>
      </c>
    </row>
    <row r="16" spans="1:6" x14ac:dyDescent="0.25">
      <c r="A16" s="10" t="s">
        <v>10</v>
      </c>
      <c r="B16" s="6">
        <v>45698</v>
      </c>
      <c r="C16" s="17">
        <v>20291</v>
      </c>
      <c r="D16" s="17">
        <v>20378</v>
      </c>
      <c r="E16" s="25">
        <v>40669</v>
      </c>
    </row>
    <row r="17" spans="1:6" x14ac:dyDescent="0.25">
      <c r="A17" s="10" t="s">
        <v>14</v>
      </c>
      <c r="B17" s="6">
        <v>45699</v>
      </c>
      <c r="C17" s="17">
        <v>19321</v>
      </c>
      <c r="D17" s="17">
        <v>19304</v>
      </c>
      <c r="E17" s="25">
        <v>38625</v>
      </c>
    </row>
    <row r="18" spans="1:6" x14ac:dyDescent="0.25">
      <c r="A18" s="10" t="s">
        <v>11</v>
      </c>
      <c r="B18" s="6">
        <v>45700</v>
      </c>
      <c r="C18" s="17">
        <v>17076</v>
      </c>
      <c r="D18" s="17">
        <v>17120</v>
      </c>
      <c r="E18" s="25">
        <v>34196</v>
      </c>
    </row>
    <row r="19" spans="1:6" x14ac:dyDescent="0.25">
      <c r="A19" s="10" t="s">
        <v>13</v>
      </c>
      <c r="B19" s="6">
        <v>45701</v>
      </c>
      <c r="C19" s="17">
        <v>18664</v>
      </c>
      <c r="D19" s="17">
        <v>18527</v>
      </c>
      <c r="E19" s="25">
        <v>37191</v>
      </c>
    </row>
    <row r="20" spans="1:6" x14ac:dyDescent="0.25">
      <c r="A20" s="10" t="s">
        <v>12</v>
      </c>
      <c r="B20" s="6">
        <v>45702</v>
      </c>
      <c r="C20" s="12">
        <v>21876</v>
      </c>
      <c r="D20" s="13">
        <v>22192</v>
      </c>
      <c r="E20" s="25">
        <v>44068</v>
      </c>
      <c r="F20" s="33" t="s">
        <v>20</v>
      </c>
    </row>
    <row r="21" spans="1:6" x14ac:dyDescent="0.25">
      <c r="A21" s="10" t="s">
        <v>16</v>
      </c>
      <c r="B21" s="6">
        <v>45703</v>
      </c>
      <c r="C21" s="26">
        <v>14275</v>
      </c>
      <c r="D21" s="26">
        <v>13745</v>
      </c>
      <c r="E21" s="25">
        <v>28020</v>
      </c>
    </row>
    <row r="22" spans="1:6" x14ac:dyDescent="0.25">
      <c r="A22" s="10" t="s">
        <v>17</v>
      </c>
      <c r="B22" s="6">
        <v>45704</v>
      </c>
      <c r="C22" s="17">
        <v>10198</v>
      </c>
      <c r="D22" s="17">
        <v>9701</v>
      </c>
      <c r="E22" s="25">
        <v>19899</v>
      </c>
    </row>
    <row r="23" spans="1:6" x14ac:dyDescent="0.25">
      <c r="A23" s="10" t="s">
        <v>10</v>
      </c>
      <c r="B23" s="6">
        <v>45705</v>
      </c>
      <c r="C23" s="17">
        <v>17663</v>
      </c>
      <c r="D23" s="27">
        <v>17462</v>
      </c>
      <c r="E23" s="25">
        <v>35125</v>
      </c>
      <c r="F23" s="33" t="s">
        <v>18</v>
      </c>
    </row>
    <row r="24" spans="1:6" x14ac:dyDescent="0.25">
      <c r="A24" s="10" t="s">
        <v>14</v>
      </c>
      <c r="B24" s="6">
        <v>45706</v>
      </c>
      <c r="C24" s="27">
        <v>21494</v>
      </c>
      <c r="D24" s="27">
        <v>21514</v>
      </c>
      <c r="E24" s="25">
        <v>43008</v>
      </c>
    </row>
    <row r="25" spans="1:6" x14ac:dyDescent="0.25">
      <c r="A25" s="10" t="s">
        <v>11</v>
      </c>
      <c r="B25" s="6">
        <v>45707</v>
      </c>
      <c r="C25" s="17">
        <v>21313</v>
      </c>
      <c r="D25" s="27">
        <v>21126</v>
      </c>
      <c r="E25" s="25">
        <v>42439</v>
      </c>
    </row>
    <row r="26" spans="1:6" x14ac:dyDescent="0.25">
      <c r="A26" s="10" t="s">
        <v>13</v>
      </c>
      <c r="B26" s="6">
        <v>45708</v>
      </c>
      <c r="C26" s="17">
        <v>19586</v>
      </c>
      <c r="D26" s="27">
        <v>19529</v>
      </c>
      <c r="E26" s="25">
        <v>39115</v>
      </c>
    </row>
    <row r="27" spans="1:6" x14ac:dyDescent="0.25">
      <c r="A27" s="10" t="s">
        <v>12</v>
      </c>
      <c r="B27" s="6">
        <v>45709</v>
      </c>
      <c r="C27" s="17">
        <v>19999</v>
      </c>
      <c r="D27" s="27">
        <v>20157</v>
      </c>
      <c r="E27" s="25">
        <v>40156</v>
      </c>
    </row>
    <row r="28" spans="1:6" x14ac:dyDescent="0.25">
      <c r="A28" s="10" t="s">
        <v>16</v>
      </c>
      <c r="B28" s="6">
        <v>45710</v>
      </c>
      <c r="C28" s="17">
        <v>17155</v>
      </c>
      <c r="D28" s="17">
        <v>16972</v>
      </c>
      <c r="E28" s="25">
        <v>34127</v>
      </c>
    </row>
    <row r="29" spans="1:6" x14ac:dyDescent="0.25">
      <c r="A29" s="10" t="s">
        <v>17</v>
      </c>
      <c r="B29" s="6">
        <v>45711</v>
      </c>
      <c r="C29" s="17">
        <v>14030</v>
      </c>
      <c r="D29" s="17">
        <v>13298</v>
      </c>
      <c r="E29" s="25">
        <v>27328</v>
      </c>
    </row>
    <row r="30" spans="1:6" x14ac:dyDescent="0.25">
      <c r="A30" s="10" t="s">
        <v>10</v>
      </c>
      <c r="B30" s="6">
        <v>45712</v>
      </c>
      <c r="C30" s="17">
        <v>20440</v>
      </c>
      <c r="D30" s="17">
        <v>20417</v>
      </c>
      <c r="E30" s="25">
        <v>40857</v>
      </c>
    </row>
    <row r="31" spans="1:6" x14ac:dyDescent="0.25">
      <c r="A31" s="10" t="s">
        <v>14</v>
      </c>
      <c r="B31" s="6">
        <v>45713</v>
      </c>
      <c r="C31" s="17">
        <v>21142</v>
      </c>
      <c r="D31" s="17">
        <v>20941</v>
      </c>
      <c r="E31" s="25">
        <v>42083</v>
      </c>
    </row>
    <row r="32" spans="1:6" x14ac:dyDescent="0.25">
      <c r="A32" s="10" t="s">
        <v>11</v>
      </c>
      <c r="B32" s="6">
        <v>45714</v>
      </c>
      <c r="C32" s="17">
        <v>22408</v>
      </c>
      <c r="D32" s="17">
        <v>22385</v>
      </c>
      <c r="E32" s="25">
        <v>44793</v>
      </c>
    </row>
    <row r="33" spans="1:5" x14ac:dyDescent="0.25">
      <c r="A33" s="10" t="s">
        <v>13</v>
      </c>
      <c r="B33" s="6">
        <v>45715</v>
      </c>
      <c r="C33" s="17">
        <v>19753</v>
      </c>
      <c r="D33" s="17">
        <v>19721</v>
      </c>
      <c r="E33" s="25">
        <v>39474</v>
      </c>
    </row>
    <row r="34" spans="1:5" x14ac:dyDescent="0.25">
      <c r="A34" s="10" t="s">
        <v>12</v>
      </c>
      <c r="B34" s="6">
        <v>45716</v>
      </c>
      <c r="C34" s="17">
        <v>21391</v>
      </c>
      <c r="D34" s="17">
        <v>21561</v>
      </c>
      <c r="E34" s="25">
        <v>42952</v>
      </c>
    </row>
    <row r="35" spans="1:5" ht="13.8" thickBot="1" x14ac:dyDescent="0.3">
      <c r="A35" s="46" t="s">
        <v>2</v>
      </c>
      <c r="B35" s="47"/>
      <c r="C35" s="18">
        <f>SUM(C7:C34)</f>
        <v>510211</v>
      </c>
      <c r="D35" s="18">
        <f>SUM(D7:D34)</f>
        <v>506237</v>
      </c>
      <c r="E35" s="18">
        <f>SUM(E7:E34)</f>
        <v>1016448</v>
      </c>
    </row>
    <row r="36" spans="1:5" ht="13.8" thickBot="1" x14ac:dyDescent="0.3">
      <c r="B36" s="3"/>
      <c r="C36" s="19"/>
      <c r="D36" s="19"/>
      <c r="E36" s="20"/>
    </row>
    <row r="37" spans="1:5" ht="13.5" customHeight="1" thickBot="1" x14ac:dyDescent="0.3">
      <c r="A37" s="36" t="s">
        <v>8</v>
      </c>
      <c r="B37" s="37"/>
      <c r="C37" s="37"/>
      <c r="D37" s="37"/>
      <c r="E37" s="21">
        <f>E35</f>
        <v>1016448</v>
      </c>
    </row>
  </sheetData>
  <mergeCells count="8">
    <mergeCell ref="A4:E4"/>
    <mergeCell ref="A37:D37"/>
    <mergeCell ref="A5:A6"/>
    <mergeCell ref="B5:B6"/>
    <mergeCell ref="C5:C6"/>
    <mergeCell ref="D5:D6"/>
    <mergeCell ref="E5:E6"/>
    <mergeCell ref="A35:B35"/>
  </mergeCells>
  <phoneticPr fontId="2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82DA-E982-4DCC-B4F0-28B4228487DA}">
  <dimension ref="A2:F54"/>
  <sheetViews>
    <sheetView workbookViewId="0">
      <selection activeCell="A35" sqref="A35:A36"/>
    </sheetView>
  </sheetViews>
  <sheetFormatPr defaultColWidth="9.109375"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6" width="18.44140625" style="32" customWidth="1"/>
    <col min="7" max="16384" width="9.109375" style="1"/>
  </cols>
  <sheetData>
    <row r="2" spans="1:6" x14ac:dyDescent="0.25">
      <c r="A2" s="51" t="s">
        <v>23</v>
      </c>
      <c r="B2" s="51"/>
      <c r="C2" s="51"/>
      <c r="D2" s="51"/>
      <c r="E2" s="51"/>
    </row>
    <row r="3" spans="1:6" ht="11.25" customHeight="1" x14ac:dyDescent="0.25">
      <c r="A3" s="40" t="s">
        <v>0</v>
      </c>
      <c r="B3" s="40" t="s">
        <v>1</v>
      </c>
      <c r="C3" s="42" t="s">
        <v>3</v>
      </c>
      <c r="D3" s="40" t="s">
        <v>4</v>
      </c>
      <c r="E3" s="50" t="s">
        <v>9</v>
      </c>
    </row>
    <row r="4" spans="1:6" x14ac:dyDescent="0.25">
      <c r="A4" s="40"/>
      <c r="B4" s="40"/>
      <c r="C4" s="42"/>
      <c r="D4" s="40"/>
      <c r="E4" s="50"/>
    </row>
    <row r="5" spans="1:6" x14ac:dyDescent="0.25">
      <c r="A5" s="10" t="s">
        <v>10</v>
      </c>
      <c r="B5" s="11">
        <v>45691</v>
      </c>
      <c r="C5" s="31">
        <v>20277</v>
      </c>
      <c r="D5" s="31">
        <v>20329</v>
      </c>
      <c r="E5" s="28">
        <v>40606</v>
      </c>
    </row>
    <row r="6" spans="1:6" x14ac:dyDescent="0.25">
      <c r="A6" s="10" t="s">
        <v>14</v>
      </c>
      <c r="B6" s="11">
        <v>45692</v>
      </c>
      <c r="C6" s="31">
        <v>21003</v>
      </c>
      <c r="D6" s="31">
        <v>20936</v>
      </c>
      <c r="E6" s="28">
        <f t="shared" ref="E6:E13" si="0">SUM(C6:D6)</f>
        <v>41939</v>
      </c>
    </row>
    <row r="7" spans="1:6" x14ac:dyDescent="0.25">
      <c r="A7" s="10" t="s">
        <v>11</v>
      </c>
      <c r="B7" s="11">
        <v>45693</v>
      </c>
      <c r="C7" s="31">
        <v>20333</v>
      </c>
      <c r="D7" s="31">
        <v>20074</v>
      </c>
      <c r="E7" s="28">
        <f t="shared" si="0"/>
        <v>40407</v>
      </c>
    </row>
    <row r="8" spans="1:6" x14ac:dyDescent="0.25">
      <c r="A8" s="10" t="s">
        <v>13</v>
      </c>
      <c r="B8" s="11">
        <v>45694</v>
      </c>
      <c r="C8" s="31">
        <v>16639</v>
      </c>
      <c r="D8" s="31">
        <v>16525</v>
      </c>
      <c r="E8" s="28">
        <f t="shared" si="0"/>
        <v>33164</v>
      </c>
    </row>
    <row r="9" spans="1:6" x14ac:dyDescent="0.25">
      <c r="A9" s="10" t="s">
        <v>12</v>
      </c>
      <c r="B9" s="11">
        <v>45695</v>
      </c>
      <c r="C9" s="31">
        <v>21383</v>
      </c>
      <c r="D9" s="31">
        <v>21599</v>
      </c>
      <c r="E9" s="28">
        <f t="shared" si="0"/>
        <v>42982</v>
      </c>
    </row>
    <row r="10" spans="1:6" x14ac:dyDescent="0.25">
      <c r="A10" s="10" t="s">
        <v>10</v>
      </c>
      <c r="B10" s="11">
        <v>45698</v>
      </c>
      <c r="C10" s="31">
        <v>20291</v>
      </c>
      <c r="D10" s="31">
        <v>20378</v>
      </c>
      <c r="E10" s="28">
        <f t="shared" si="0"/>
        <v>40669</v>
      </c>
    </row>
    <row r="11" spans="1:6" x14ac:dyDescent="0.25">
      <c r="A11" s="10" t="s">
        <v>14</v>
      </c>
      <c r="B11" s="11">
        <v>45699</v>
      </c>
      <c r="C11" s="31">
        <v>19321</v>
      </c>
      <c r="D11" s="31">
        <v>19304</v>
      </c>
      <c r="E11" s="28">
        <f t="shared" si="0"/>
        <v>38625</v>
      </c>
    </row>
    <row r="12" spans="1:6" x14ac:dyDescent="0.25">
      <c r="A12" s="10" t="s">
        <v>11</v>
      </c>
      <c r="B12" s="11">
        <v>45700</v>
      </c>
      <c r="C12" s="31">
        <v>17076</v>
      </c>
      <c r="D12" s="31">
        <v>17120</v>
      </c>
      <c r="E12" s="28">
        <f t="shared" si="0"/>
        <v>34196</v>
      </c>
    </row>
    <row r="13" spans="1:6" x14ac:dyDescent="0.25">
      <c r="A13" s="10" t="s">
        <v>13</v>
      </c>
      <c r="B13" s="11">
        <v>45701</v>
      </c>
      <c r="C13" s="31">
        <v>18664</v>
      </c>
      <c r="D13" s="31">
        <v>18527</v>
      </c>
      <c r="E13" s="28">
        <f t="shared" si="0"/>
        <v>37191</v>
      </c>
    </row>
    <row r="14" spans="1:6" x14ac:dyDescent="0.25">
      <c r="A14" s="10" t="s">
        <v>12</v>
      </c>
      <c r="B14" s="11">
        <v>45702</v>
      </c>
      <c r="C14" s="23">
        <v>21876</v>
      </c>
      <c r="D14" s="23">
        <v>22192</v>
      </c>
      <c r="E14" s="28">
        <f t="shared" ref="E14:E20" si="1">SUM(C14:D14)</f>
        <v>44068</v>
      </c>
      <c r="F14" s="32" t="s">
        <v>20</v>
      </c>
    </row>
    <row r="15" spans="1:6" x14ac:dyDescent="0.25">
      <c r="A15" s="10" t="s">
        <v>10</v>
      </c>
      <c r="B15" s="11">
        <v>45705</v>
      </c>
      <c r="C15" s="22">
        <v>17663</v>
      </c>
      <c r="D15" s="22">
        <v>17462</v>
      </c>
      <c r="E15" s="28">
        <f t="shared" si="1"/>
        <v>35125</v>
      </c>
      <c r="F15" s="32" t="s">
        <v>18</v>
      </c>
    </row>
    <row r="16" spans="1:6" ht="14.4" x14ac:dyDescent="0.3">
      <c r="A16" s="10" t="s">
        <v>14</v>
      </c>
      <c r="B16" s="11">
        <v>45706</v>
      </c>
      <c r="C16" s="22">
        <v>21494</v>
      </c>
      <c r="D16" s="24">
        <v>21514</v>
      </c>
      <c r="E16" s="28">
        <f>SUM(C16:D16)</f>
        <v>43008</v>
      </c>
    </row>
    <row r="17" spans="1:5" x14ac:dyDescent="0.25">
      <c r="A17" s="10" t="s">
        <v>11</v>
      </c>
      <c r="B17" s="11">
        <v>45707</v>
      </c>
      <c r="C17" s="22">
        <v>21313</v>
      </c>
      <c r="D17" s="22">
        <v>21126</v>
      </c>
      <c r="E17" s="28">
        <f t="shared" si="1"/>
        <v>42439</v>
      </c>
    </row>
    <row r="18" spans="1:5" x14ac:dyDescent="0.25">
      <c r="A18" s="10" t="s">
        <v>13</v>
      </c>
      <c r="B18" s="11">
        <v>45708</v>
      </c>
      <c r="C18" s="22">
        <v>19586</v>
      </c>
      <c r="D18" s="22">
        <v>19529</v>
      </c>
      <c r="E18" s="28">
        <f t="shared" si="1"/>
        <v>39115</v>
      </c>
    </row>
    <row r="19" spans="1:5" x14ac:dyDescent="0.25">
      <c r="A19" s="10" t="s">
        <v>12</v>
      </c>
      <c r="B19" s="11">
        <v>45709</v>
      </c>
      <c r="C19" s="22">
        <v>19999</v>
      </c>
      <c r="D19" s="22">
        <v>20157</v>
      </c>
      <c r="E19" s="28">
        <f t="shared" si="1"/>
        <v>40156</v>
      </c>
    </row>
    <row r="20" spans="1:5" x14ac:dyDescent="0.25">
      <c r="A20" s="10" t="s">
        <v>10</v>
      </c>
      <c r="B20" s="11">
        <v>45712</v>
      </c>
      <c r="C20" s="22">
        <v>20440</v>
      </c>
      <c r="D20" s="22">
        <v>20417</v>
      </c>
      <c r="E20" s="28">
        <f t="shared" si="1"/>
        <v>40857</v>
      </c>
    </row>
    <row r="21" spans="1:5" x14ac:dyDescent="0.25">
      <c r="A21" s="10" t="s">
        <v>14</v>
      </c>
      <c r="B21" s="11">
        <v>45713</v>
      </c>
      <c r="C21" s="22">
        <v>21142</v>
      </c>
      <c r="D21" s="22">
        <v>20941</v>
      </c>
      <c r="E21" s="28">
        <f>SUM(C21:D21)</f>
        <v>42083</v>
      </c>
    </row>
    <row r="22" spans="1:5" x14ac:dyDescent="0.25">
      <c r="A22" s="10" t="s">
        <v>11</v>
      </c>
      <c r="B22" s="11">
        <v>45714</v>
      </c>
      <c r="C22" s="22">
        <v>22408</v>
      </c>
      <c r="D22" s="22">
        <v>22385</v>
      </c>
      <c r="E22" s="28">
        <f>SUM(C22:D22)</f>
        <v>44793</v>
      </c>
    </row>
    <row r="23" spans="1:5" x14ac:dyDescent="0.25">
      <c r="A23" s="10" t="s">
        <v>13</v>
      </c>
      <c r="B23" s="11">
        <v>45715</v>
      </c>
      <c r="C23" s="22">
        <v>19753</v>
      </c>
      <c r="D23" s="28">
        <v>19721</v>
      </c>
      <c r="E23" s="28">
        <f>SUM(C23:D23)</f>
        <v>39474</v>
      </c>
    </row>
    <row r="24" spans="1:5" x14ac:dyDescent="0.25">
      <c r="A24" s="10" t="s">
        <v>12</v>
      </c>
      <c r="B24" s="11">
        <v>45716</v>
      </c>
      <c r="C24" s="22">
        <v>21391</v>
      </c>
      <c r="D24" s="31">
        <v>21561</v>
      </c>
      <c r="E24" s="28">
        <f>SUM(C24:D24)</f>
        <v>42952</v>
      </c>
    </row>
    <row r="25" spans="1:5" x14ac:dyDescent="0.25">
      <c r="A25" s="52" t="s">
        <v>2</v>
      </c>
      <c r="B25" s="53"/>
      <c r="C25" s="14">
        <f>SUM(C5:C24)</f>
        <v>402052</v>
      </c>
      <c r="D25" s="14">
        <f>SUM(D5:D24)</f>
        <v>401797</v>
      </c>
      <c r="E25" s="14">
        <f>SUM(E5:E24)</f>
        <v>803849</v>
      </c>
    </row>
    <row r="26" spans="1:5" x14ac:dyDescent="0.25">
      <c r="C26" s="4"/>
      <c r="D26" s="4"/>
      <c r="E26" s="4"/>
    </row>
    <row r="27" spans="1:5" x14ac:dyDescent="0.25">
      <c r="A27" s="49" t="s">
        <v>24</v>
      </c>
      <c r="B27" s="49"/>
      <c r="C27" s="49"/>
      <c r="D27" s="49"/>
      <c r="E27" s="8">
        <f>E25</f>
        <v>803849</v>
      </c>
    </row>
    <row r="28" spans="1:5" x14ac:dyDescent="0.25">
      <c r="A28" s="49" t="s">
        <v>7</v>
      </c>
      <c r="B28" s="49"/>
      <c r="C28" s="49"/>
      <c r="D28" s="49"/>
      <c r="E28" s="8">
        <f>AVERAGE(E5:E24)</f>
        <v>40192.449999999997</v>
      </c>
    </row>
    <row r="29" spans="1:5" x14ac:dyDescent="0.25">
      <c r="A29" s="54"/>
      <c r="B29" s="54"/>
      <c r="C29" s="54"/>
      <c r="D29" s="54"/>
      <c r="E29" s="55"/>
    </row>
    <row r="30" spans="1:5" x14ac:dyDescent="0.25">
      <c r="A30" s="54"/>
      <c r="B30" s="54"/>
      <c r="C30" s="54"/>
      <c r="D30" s="54"/>
      <c r="E30" s="55"/>
    </row>
    <row r="31" spans="1:5" x14ac:dyDescent="0.25">
      <c r="A31" s="54"/>
      <c r="B31" s="54"/>
      <c r="C31" s="54"/>
      <c r="D31" s="54"/>
      <c r="E31" s="55"/>
    </row>
    <row r="32" spans="1:5" x14ac:dyDescent="0.25">
      <c r="A32" s="54"/>
      <c r="B32" s="54"/>
      <c r="C32" s="54"/>
      <c r="D32" s="54"/>
      <c r="E32" s="55"/>
    </row>
    <row r="34" spans="1:6" x14ac:dyDescent="0.25">
      <c r="A34" s="51" t="s">
        <v>25</v>
      </c>
      <c r="B34" s="51"/>
      <c r="C34" s="51"/>
      <c r="D34" s="51"/>
      <c r="E34" s="51"/>
    </row>
    <row r="35" spans="1:6" x14ac:dyDescent="0.25">
      <c r="A35" s="40" t="s">
        <v>0</v>
      </c>
      <c r="B35" s="40" t="s">
        <v>1</v>
      </c>
      <c r="C35" s="42" t="s">
        <v>3</v>
      </c>
      <c r="D35" s="42" t="s">
        <v>4</v>
      </c>
      <c r="E35" s="50" t="s">
        <v>9</v>
      </c>
    </row>
    <row r="36" spans="1:6" ht="11.25" customHeight="1" x14ac:dyDescent="0.25">
      <c r="A36" s="40"/>
      <c r="B36" s="40"/>
      <c r="C36" s="42"/>
      <c r="D36" s="42"/>
      <c r="E36" s="50"/>
    </row>
    <row r="37" spans="1:6" x14ac:dyDescent="0.25">
      <c r="A37" s="10" t="str">
        <f t="shared" ref="A37:A44" si="2">CHOOSE(WEEKDAY(B37),"SUN","MON","TUES","WED","THU","FRI","SAT")</f>
        <v>SAT</v>
      </c>
      <c r="B37" s="6">
        <v>45689</v>
      </c>
      <c r="C37" s="29">
        <v>15502</v>
      </c>
      <c r="D37" s="29">
        <v>15617</v>
      </c>
      <c r="E37" s="30">
        <f>C37+D37</f>
        <v>31119</v>
      </c>
    </row>
    <row r="38" spans="1:6" x14ac:dyDescent="0.25">
      <c r="A38" s="10" t="str">
        <f t="shared" si="2"/>
        <v>SUN</v>
      </c>
      <c r="B38" s="6">
        <v>45690</v>
      </c>
      <c r="C38" s="22">
        <v>12081</v>
      </c>
      <c r="D38" s="22">
        <v>11236</v>
      </c>
      <c r="E38" s="28">
        <f>SUM(C38:D38)</f>
        <v>23317</v>
      </c>
    </row>
    <row r="39" spans="1:6" x14ac:dyDescent="0.25">
      <c r="A39" s="10" t="str">
        <f t="shared" si="2"/>
        <v>SAT</v>
      </c>
      <c r="B39" s="6">
        <v>45696</v>
      </c>
      <c r="C39" s="22">
        <v>14265</v>
      </c>
      <c r="D39" s="22">
        <v>14124</v>
      </c>
      <c r="E39" s="28">
        <f t="shared" ref="E39:E44" si="3">SUM(C39:D39)</f>
        <v>28389</v>
      </c>
    </row>
    <row r="40" spans="1:6" x14ac:dyDescent="0.25">
      <c r="A40" s="10" t="str">
        <f t="shared" si="2"/>
        <v>SUN</v>
      </c>
      <c r="B40" s="6">
        <v>45697</v>
      </c>
      <c r="C40" s="22">
        <v>10653</v>
      </c>
      <c r="D40" s="22">
        <v>9747</v>
      </c>
      <c r="E40" s="28">
        <f t="shared" si="3"/>
        <v>20400</v>
      </c>
      <c r="F40" s="32" t="s">
        <v>21</v>
      </c>
    </row>
    <row r="41" spans="1:6" x14ac:dyDescent="0.25">
      <c r="A41" s="10" t="str">
        <f t="shared" si="2"/>
        <v>SAT</v>
      </c>
      <c r="B41" s="6">
        <v>45703</v>
      </c>
      <c r="C41" s="22">
        <v>14275</v>
      </c>
      <c r="D41" s="22">
        <v>13745</v>
      </c>
      <c r="E41" s="28">
        <f t="shared" si="3"/>
        <v>28020</v>
      </c>
    </row>
    <row r="42" spans="1:6" x14ac:dyDescent="0.25">
      <c r="A42" s="10" t="str">
        <f t="shared" si="2"/>
        <v>SUN</v>
      </c>
      <c r="B42" s="6">
        <v>45704</v>
      </c>
      <c r="C42" s="22">
        <v>10198</v>
      </c>
      <c r="D42" s="22">
        <v>9701</v>
      </c>
      <c r="E42" s="28">
        <f t="shared" si="3"/>
        <v>19899</v>
      </c>
    </row>
    <row r="43" spans="1:6" x14ac:dyDescent="0.25">
      <c r="A43" s="10" t="str">
        <f t="shared" si="2"/>
        <v>SAT</v>
      </c>
      <c r="B43" s="6">
        <v>45710</v>
      </c>
      <c r="C43" s="22">
        <v>17155</v>
      </c>
      <c r="D43" s="22">
        <v>16972</v>
      </c>
      <c r="E43" s="28">
        <f t="shared" si="3"/>
        <v>34127</v>
      </c>
    </row>
    <row r="44" spans="1:6" x14ac:dyDescent="0.25">
      <c r="A44" s="10" t="str">
        <f t="shared" si="2"/>
        <v>SUN</v>
      </c>
      <c r="B44" s="6">
        <v>45711</v>
      </c>
      <c r="C44" s="22">
        <v>14030</v>
      </c>
      <c r="D44" s="22">
        <v>13298</v>
      </c>
      <c r="E44" s="28">
        <f t="shared" si="3"/>
        <v>27328</v>
      </c>
    </row>
    <row r="45" spans="1:6" x14ac:dyDescent="0.25">
      <c r="A45" s="48" t="s">
        <v>2</v>
      </c>
      <c r="B45" s="48"/>
      <c r="C45" s="7">
        <f>SUM(C37:C44)</f>
        <v>108159</v>
      </c>
      <c r="D45" s="7">
        <f>SUM(D37:D44)</f>
        <v>104440</v>
      </c>
      <c r="E45" s="7">
        <f>SUM(E37:E44)</f>
        <v>212599</v>
      </c>
    </row>
    <row r="46" spans="1:6" x14ac:dyDescent="0.25">
      <c r="C46" s="4" t="s">
        <v>15</v>
      </c>
      <c r="D46" s="4"/>
      <c r="E46" s="4"/>
    </row>
    <row r="47" spans="1:6" ht="16.5" customHeight="1" x14ac:dyDescent="0.25">
      <c r="A47" s="49" t="s">
        <v>26</v>
      </c>
      <c r="B47" s="49"/>
      <c r="C47" s="49"/>
      <c r="D47" s="49"/>
      <c r="E47" s="9">
        <f>E45</f>
        <v>212599</v>
      </c>
    </row>
    <row r="48" spans="1:6" x14ac:dyDescent="0.25">
      <c r="A48" s="5"/>
      <c r="B48" s="5"/>
      <c r="C48" s="5"/>
      <c r="D48" s="5"/>
      <c r="E48" s="5"/>
    </row>
    <row r="49" spans="1:6" ht="14.25" customHeight="1" x14ac:dyDescent="0.25">
      <c r="A49" s="49" t="s">
        <v>5</v>
      </c>
      <c r="B49" s="49"/>
      <c r="C49" s="49"/>
      <c r="D49" s="49"/>
      <c r="E49" s="9">
        <f xml:space="preserve"> AVERAGE(E37,E39,E43, E41,I49)</f>
        <v>30413.75</v>
      </c>
    </row>
    <row r="50" spans="1:6" x14ac:dyDescent="0.25">
      <c r="A50" s="49" t="s">
        <v>6</v>
      </c>
      <c r="B50" s="49"/>
      <c r="C50" s="49"/>
      <c r="D50" s="49"/>
      <c r="E50" s="9">
        <f xml:space="preserve"> AVERAGE(E38,E40,E42,E44 )</f>
        <v>22736</v>
      </c>
    </row>
    <row r="54" spans="1:6" x14ac:dyDescent="0.25">
      <c r="F54" s="32" t="s">
        <v>27</v>
      </c>
    </row>
  </sheetData>
  <mergeCells count="19">
    <mergeCell ref="A25:B25"/>
    <mergeCell ref="A2:E2"/>
    <mergeCell ref="A3:A4"/>
    <mergeCell ref="B3:B4"/>
    <mergeCell ref="C3:C4"/>
    <mergeCell ref="D3:D4"/>
    <mergeCell ref="E3:E4"/>
    <mergeCell ref="A27:D27"/>
    <mergeCell ref="A28:D28"/>
    <mergeCell ref="A34:E34"/>
    <mergeCell ref="A35:A36"/>
    <mergeCell ref="B35:B36"/>
    <mergeCell ref="C35:C36"/>
    <mergeCell ref="D35:D36"/>
    <mergeCell ref="A45:B45"/>
    <mergeCell ref="A47:D47"/>
    <mergeCell ref="E35:E36"/>
    <mergeCell ref="A49:D49"/>
    <mergeCell ref="A50:D50"/>
  </mergeCells>
  <phoneticPr fontId="9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  <ignoredErrors>
    <ignoredError sqref="E38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2A6C53-9C14-407D-8144-0E7B75C16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9421FC-E5AA-4E91-8ECB-1EADB457DD5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A5C939F-C6EF-4630-AB67-43D3AF8624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2013-06-05T11:40:15Z</cp:lastPrinted>
  <dcterms:created xsi:type="dcterms:W3CDTF">2006-12-14T13:28:56Z</dcterms:created>
  <dcterms:modified xsi:type="dcterms:W3CDTF">2026-04-09T23:37:13Z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