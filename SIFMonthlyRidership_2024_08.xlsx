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0" documentId="8_{714298CF-2F5F-47D0-8B42-B6E7F48160D7}" xr6:coauthVersionLast="47" xr6:coauthVersionMax="47" xr10:uidLastSave="{00000000-0000-0000-0000-000000000000}"/>
  <bookViews>
    <workbookView xWindow="-108" yWindow="-108" windowWidth="23256" windowHeight="13896" xr2:uid="{6E144048-7779-494B-A969-2D50100B9C99}"/>
  </bookViews>
  <sheets>
    <sheet name="TOTALS" sheetId="1" r:id="rId1"/>
    <sheet name="Weekday - Wee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2" l="1"/>
  <c r="E44" i="2"/>
  <c r="E26" i="2"/>
  <c r="E25" i="2"/>
  <c r="E24" i="2"/>
  <c r="E33" i="1"/>
  <c r="E43" i="2"/>
  <c r="E21" i="2"/>
  <c r="E19" i="2"/>
  <c r="E18" i="2"/>
  <c r="E17" i="2"/>
  <c r="E22" i="1"/>
  <c r="E42" i="2"/>
  <c r="E41" i="2"/>
  <c r="E16" i="2"/>
  <c r="E20" i="1"/>
  <c r="E38" i="1" s="1"/>
  <c r="E40" i="1" s="1"/>
  <c r="E14" i="2"/>
  <c r="E13" i="2"/>
  <c r="E40" i="2"/>
  <c r="E39" i="2"/>
  <c r="E10" i="2"/>
  <c r="E9" i="2"/>
  <c r="E8" i="2"/>
  <c r="E38" i="2"/>
  <c r="E6" i="2"/>
  <c r="E22" i="2"/>
  <c r="E20" i="2"/>
  <c r="E7" i="2"/>
  <c r="E11" i="2"/>
  <c r="E12" i="2"/>
  <c r="E15" i="2"/>
  <c r="E23" i="2"/>
  <c r="E51" i="2" l="1"/>
  <c r="E37" i="2"/>
  <c r="E5" i="2"/>
  <c r="E27" i="2" s="1"/>
  <c r="A38" i="2"/>
  <c r="A37" i="2"/>
  <c r="A7" i="1"/>
  <c r="D38" i="1"/>
  <c r="B8" i="1"/>
  <c r="B9" i="1" s="1"/>
  <c r="E50" i="2" l="1"/>
  <c r="E46" i="2"/>
  <c r="E48" i="2" s="1"/>
  <c r="C38" i="1"/>
  <c r="C27" i="2"/>
  <c r="D46" i="2"/>
  <c r="D27" i="2"/>
  <c r="C46" i="2"/>
  <c r="B10" i="1"/>
  <c r="A9" i="1"/>
  <c r="A8" i="1"/>
  <c r="E30" i="2" l="1"/>
  <c r="E29" i="2"/>
  <c r="A10" i="1"/>
  <c r="B11" i="1"/>
  <c r="B12" i="1" l="1"/>
  <c r="A11" i="1"/>
  <c r="A12" i="1" l="1"/>
  <c r="B13" i="1"/>
  <c r="A13" i="1" l="1"/>
  <c r="B14" i="1"/>
  <c r="B15" i="1" l="1"/>
  <c r="A14" i="1"/>
  <c r="A15" i="1" l="1"/>
  <c r="B16" i="1"/>
  <c r="B17" i="1" l="1"/>
  <c r="A16" i="1"/>
  <c r="B18" i="1" l="1"/>
  <c r="A17" i="1"/>
  <c r="B19" i="1" l="1"/>
  <c r="A18" i="1"/>
  <c r="A19" i="1" l="1"/>
  <c r="B20" i="1"/>
  <c r="B21" i="1" l="1"/>
  <c r="A20" i="1"/>
  <c r="A21" i="1" l="1"/>
  <c r="B22" i="1"/>
  <c r="A22" i="1" l="1"/>
  <c r="B23" i="1"/>
  <c r="A23" i="1" l="1"/>
  <c r="B24" i="1"/>
  <c r="A24" i="1" l="1"/>
  <c r="B25" i="1"/>
  <c r="B26" i="1" l="1"/>
  <c r="A25" i="1"/>
  <c r="B27" i="1" l="1"/>
  <c r="A26" i="1"/>
  <c r="B28" i="1" l="1"/>
  <c r="A27" i="1"/>
  <c r="A28" i="1" l="1"/>
  <c r="B29" i="1"/>
  <c r="A29" i="1" l="1"/>
  <c r="B30" i="1"/>
  <c r="A30" i="1" l="1"/>
  <c r="B31" i="1"/>
  <c r="B32" i="1" l="1"/>
  <c r="A31" i="1"/>
  <c r="A32" i="1" l="1"/>
  <c r="B33" i="1"/>
  <c r="A33" i="1" l="1"/>
  <c r="B34" i="1"/>
  <c r="A34" i="1" l="1"/>
  <c r="B35" i="1"/>
  <c r="A35" i="1" l="1"/>
  <c r="B36" i="1"/>
  <c r="B37" i="1" s="1"/>
  <c r="A37" i="1" l="1"/>
  <c r="A36" i="1"/>
</calcChain>
</file>

<file path=xl/sharedStrings.xml><?xml version="1.0" encoding="utf-8"?>
<sst xmlns="http://schemas.openxmlformats.org/spreadsheetml/2006/main" count="56" uniqueCount="22">
  <si>
    <t>Day</t>
  </si>
  <si>
    <t>Date</t>
  </si>
  <si>
    <t>WHT</t>
  </si>
  <si>
    <t>STG</t>
  </si>
  <si>
    <t>Combined TOTAL</t>
  </si>
  <si>
    <t>TOTALS:</t>
  </si>
  <si>
    <t xml:space="preserve">PASSENGER COUNT TOTAL:  </t>
  </si>
  <si>
    <t>MON</t>
  </si>
  <si>
    <t>WED</t>
  </si>
  <si>
    <t>THU</t>
  </si>
  <si>
    <t>FRI</t>
  </si>
  <si>
    <t xml:space="preserve">Average Passengers/Weekday: </t>
  </si>
  <si>
    <t xml:space="preserve">Average Saturday Passengers: </t>
  </si>
  <si>
    <t xml:space="preserve">Average Sunday Passengers: </t>
  </si>
  <si>
    <t>TUE</t>
  </si>
  <si>
    <t xml:space="preserve">      August 2024 Staten Island Ferry Ridership</t>
  </si>
  <si>
    <t xml:space="preserve">August 2024:  WEEKDAY TOTALS </t>
  </si>
  <si>
    <t xml:space="preserve">Total Weekday Pax Count August 2024: </t>
  </si>
  <si>
    <t xml:space="preserve">August 2024:  WEEKEND TOTALS </t>
  </si>
  <si>
    <t xml:space="preserve">Total Weekend Pax Count August 2024: 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</si>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</sst>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indexed="9"/>
      <name val="Century Gothic"/>
      <family val="2"/>
    </font>
    <font>
      <b/>
      <sz val="10"/>
      <color indexed="8"/>
      <name val="Century Gothic"/>
      <family val="2"/>
    </font>
    <font>
      <sz val="10"/>
      <color indexed="8"/>
      <name val="Century Gothic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41" fontId="2" fillId="4" borderId="9" xfId="0" applyNumberFormat="1" applyFont="1" applyFill="1" applyBorder="1" applyAlignment="1">
      <alignment horizontal="center"/>
    </xf>
    <xf numFmtId="41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right"/>
    </xf>
    <xf numFmtId="41" fontId="2" fillId="0" borderId="0" xfId="0" applyNumberFormat="1" applyFont="1" applyAlignment="1">
      <alignment horizontal="center"/>
    </xf>
    <xf numFmtId="37" fontId="2" fillId="0" borderId="0" xfId="0" applyNumberFormat="1" applyFont="1" applyAlignment="1">
      <alignment horizontal="center"/>
    </xf>
    <xf numFmtId="41" fontId="2" fillId="4" borderId="12" xfId="0" applyNumberFormat="1" applyFont="1" applyFill="1" applyBorder="1" applyAlignment="1">
      <alignment horizontal="center"/>
    </xf>
    <xf numFmtId="14" fontId="1" fillId="0" borderId="4" xfId="0" applyNumberFormat="1" applyFont="1" applyBorder="1"/>
    <xf numFmtId="41" fontId="2" fillId="4" borderId="4" xfId="0" applyNumberFormat="1" applyFont="1" applyFill="1" applyBorder="1" applyAlignment="1">
      <alignment horizontal="center"/>
    </xf>
    <xf numFmtId="37" fontId="2" fillId="4" borderId="4" xfId="0" applyNumberFormat="1" applyFont="1" applyFill="1" applyBorder="1" applyAlignment="1">
      <alignment horizontal="right"/>
    </xf>
    <xf numFmtId="37" fontId="2" fillId="4" borderId="4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/>
    </xf>
    <xf numFmtId="14" fontId="2" fillId="4" borderId="7" xfId="0" applyNumberFormat="1" applyFont="1" applyFill="1" applyBorder="1" applyAlignment="1">
      <alignment horizontal="center"/>
    </xf>
    <xf numFmtId="14" fontId="2" fillId="4" borderId="8" xfId="0" applyNumberFormat="1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3" borderId="4" xfId="0" applyFont="1" applyFill="1" applyBorder="1" applyAlignment="1">
      <alignment horizontal="center" vertical="center"/>
    </xf>
    <xf numFmtId="0" fontId="1" fillId="0" borderId="4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top" wrapText="1"/>
    </xf>
    <xf numFmtId="14" fontId="2" fillId="4" borderId="4" xfId="0" applyNumberFormat="1" applyFont="1" applyFill="1" applyBorder="1" applyAlignment="1">
      <alignment horizontal="center"/>
    </xf>
    <xf numFmtId="41" fontId="2" fillId="4" borderId="4" xfId="0" applyNumberFormat="1" applyFont="1" applyFill="1" applyBorder="1" applyAlignment="1">
      <alignment horizontal="right"/>
    </xf>
    <xf numFmtId="41" fontId="2" fillId="4" borderId="0" xfId="0" applyNumberFormat="1" applyFont="1" applyFill="1" applyBorder="1" applyAlignment="1">
      <alignment horizontal="right"/>
    </xf>
    <xf numFmtId="37" fontId="2" fillId="4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34926</xdr:colOff>
      <xdr:row>0</xdr:row>
      <xdr:rowOff>38100</xdr:rowOff>
    </xdr:from>
    <xdr:to>
      <xdr:col>1</xdr:col>
      <xdr:colOff>158752</xdr:colOff>
      <xdr:row>2</xdr:row>
      <xdr:rowOff>104775</xdr:rowOff>
    </xdr:to>
    <xdr:pic>
      <xdr:nvPicPr>
        <xdr:cNvPr id="2" name="Picture 31" descr="DOT%20Logo_green">
          <a:extLst>
            <a:ext uri="{FF2B5EF4-FFF2-40B4-BE49-F238E27FC236}">
              <a16:creationId xmlns:a16="http://schemas.microsoft.com/office/drawing/2014/main" id="{169761CB-D55F-43C2-9CAE-04389A43A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759" y="38100"/>
          <a:ext cx="737659" cy="4053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8469-8B79-4F3C-A91E-B63112B1C554}">
  <dimension ref="A2:E40"/>
  <sheetViews>
    <sheetView tabSelected="1" zoomScale="90" zoomScaleNormal="90" workbookViewId="0">
      <selection activeCell="A5" sqref="A5:A6"/>
    </sheetView>
  </sheetViews>
  <sheetFormatPr defaultRowHeight="13.2" x14ac:dyDescent="0.25"/>
  <cols>
    <col min="1" max="1" width="9.109375" style="1"/>
    <col min="2" max="2" width="13.44140625" style="1" customWidth="1"/>
    <col min="3" max="4" width="12.33203125" style="1" customWidth="1"/>
    <col min="5" max="5" width="15.5546875" style="1" customWidth="1"/>
    <col min="6" max="10" width="9.109375" style="1"/>
    <col min="11" max="11" width="9.6640625" style="1" bestFit="1" customWidth="1"/>
    <col min="12" max="256" width="9.109375" style="1"/>
    <col min="257" max="257" width="13.44140625" style="1" customWidth="1"/>
    <col min="258" max="259" width="12.33203125" style="1" customWidth="1"/>
    <col min="260" max="260" width="15.5546875" style="1" customWidth="1"/>
    <col min="261" max="261" width="10" style="1" bestFit="1" customWidth="1"/>
    <col min="262" max="266" width="9.109375" style="1"/>
    <col min="267" max="267" width="9.6640625" style="1" bestFit="1" customWidth="1"/>
    <col min="268" max="512" width="9.109375" style="1"/>
    <col min="513" max="513" width="13.44140625" style="1" customWidth="1"/>
    <col min="514" max="515" width="12.33203125" style="1" customWidth="1"/>
    <col min="516" max="516" width="15.5546875" style="1" customWidth="1"/>
    <col min="517" max="517" width="10" style="1" bestFit="1" customWidth="1"/>
    <col min="518" max="522" width="9.109375" style="1"/>
    <col min="523" max="523" width="9.6640625" style="1" bestFit="1" customWidth="1"/>
    <col min="524" max="768" width="9.109375" style="1"/>
    <col min="769" max="769" width="13.44140625" style="1" customWidth="1"/>
    <col min="770" max="771" width="12.33203125" style="1" customWidth="1"/>
    <col min="772" max="772" width="15.5546875" style="1" customWidth="1"/>
    <col min="773" max="773" width="10" style="1" bestFit="1" customWidth="1"/>
    <col min="774" max="778" width="9.109375" style="1"/>
    <col min="779" max="779" width="9.6640625" style="1" bestFit="1" customWidth="1"/>
    <col min="780" max="1024" width="9.109375" style="1"/>
    <col min="1025" max="1025" width="13.44140625" style="1" customWidth="1"/>
    <col min="1026" max="1027" width="12.33203125" style="1" customWidth="1"/>
    <col min="1028" max="1028" width="15.5546875" style="1" customWidth="1"/>
    <col min="1029" max="1029" width="10" style="1" bestFit="1" customWidth="1"/>
    <col min="1030" max="1034" width="9.109375" style="1"/>
    <col min="1035" max="1035" width="9.6640625" style="1" bestFit="1" customWidth="1"/>
    <col min="1036" max="1280" width="9.109375" style="1"/>
    <col min="1281" max="1281" width="13.44140625" style="1" customWidth="1"/>
    <col min="1282" max="1283" width="12.33203125" style="1" customWidth="1"/>
    <col min="1284" max="1284" width="15.5546875" style="1" customWidth="1"/>
    <col min="1285" max="1285" width="10" style="1" bestFit="1" customWidth="1"/>
    <col min="1286" max="1290" width="9.109375" style="1"/>
    <col min="1291" max="1291" width="9.6640625" style="1" bestFit="1" customWidth="1"/>
    <col min="1292" max="1536" width="9.109375" style="1"/>
    <col min="1537" max="1537" width="13.44140625" style="1" customWidth="1"/>
    <col min="1538" max="1539" width="12.33203125" style="1" customWidth="1"/>
    <col min="1540" max="1540" width="15.5546875" style="1" customWidth="1"/>
    <col min="1541" max="1541" width="10" style="1" bestFit="1" customWidth="1"/>
    <col min="1542" max="1546" width="9.109375" style="1"/>
    <col min="1547" max="1547" width="9.6640625" style="1" bestFit="1" customWidth="1"/>
    <col min="1548" max="1792" width="9.109375" style="1"/>
    <col min="1793" max="1793" width="13.44140625" style="1" customWidth="1"/>
    <col min="1794" max="1795" width="12.33203125" style="1" customWidth="1"/>
    <col min="1796" max="1796" width="15.5546875" style="1" customWidth="1"/>
    <col min="1797" max="1797" width="10" style="1" bestFit="1" customWidth="1"/>
    <col min="1798" max="1802" width="9.109375" style="1"/>
    <col min="1803" max="1803" width="9.6640625" style="1" bestFit="1" customWidth="1"/>
    <col min="1804" max="2048" width="9.109375" style="1"/>
    <col min="2049" max="2049" width="13.44140625" style="1" customWidth="1"/>
    <col min="2050" max="2051" width="12.33203125" style="1" customWidth="1"/>
    <col min="2052" max="2052" width="15.5546875" style="1" customWidth="1"/>
    <col min="2053" max="2053" width="10" style="1" bestFit="1" customWidth="1"/>
    <col min="2054" max="2058" width="9.109375" style="1"/>
    <col min="2059" max="2059" width="9.6640625" style="1" bestFit="1" customWidth="1"/>
    <col min="2060" max="2304" width="9.109375" style="1"/>
    <col min="2305" max="2305" width="13.44140625" style="1" customWidth="1"/>
    <col min="2306" max="2307" width="12.33203125" style="1" customWidth="1"/>
    <col min="2308" max="2308" width="15.5546875" style="1" customWidth="1"/>
    <col min="2309" max="2309" width="10" style="1" bestFit="1" customWidth="1"/>
    <col min="2310" max="2314" width="9.109375" style="1"/>
    <col min="2315" max="2315" width="9.6640625" style="1" bestFit="1" customWidth="1"/>
    <col min="2316" max="2560" width="9.109375" style="1"/>
    <col min="2561" max="2561" width="13.44140625" style="1" customWidth="1"/>
    <col min="2562" max="2563" width="12.33203125" style="1" customWidth="1"/>
    <col min="2564" max="2564" width="15.5546875" style="1" customWidth="1"/>
    <col min="2565" max="2565" width="10" style="1" bestFit="1" customWidth="1"/>
    <col min="2566" max="2570" width="9.109375" style="1"/>
    <col min="2571" max="2571" width="9.6640625" style="1" bestFit="1" customWidth="1"/>
    <col min="2572" max="2816" width="9.109375" style="1"/>
    <col min="2817" max="2817" width="13.44140625" style="1" customWidth="1"/>
    <col min="2818" max="2819" width="12.33203125" style="1" customWidth="1"/>
    <col min="2820" max="2820" width="15.5546875" style="1" customWidth="1"/>
    <col min="2821" max="2821" width="10" style="1" bestFit="1" customWidth="1"/>
    <col min="2822" max="2826" width="9.109375" style="1"/>
    <col min="2827" max="2827" width="9.6640625" style="1" bestFit="1" customWidth="1"/>
    <col min="2828" max="3072" width="9.109375" style="1"/>
    <col min="3073" max="3073" width="13.44140625" style="1" customWidth="1"/>
    <col min="3074" max="3075" width="12.33203125" style="1" customWidth="1"/>
    <col min="3076" max="3076" width="15.5546875" style="1" customWidth="1"/>
    <col min="3077" max="3077" width="10" style="1" bestFit="1" customWidth="1"/>
    <col min="3078" max="3082" width="9.109375" style="1"/>
    <col min="3083" max="3083" width="9.6640625" style="1" bestFit="1" customWidth="1"/>
    <col min="3084" max="3328" width="9.109375" style="1"/>
    <col min="3329" max="3329" width="13.44140625" style="1" customWidth="1"/>
    <col min="3330" max="3331" width="12.33203125" style="1" customWidth="1"/>
    <col min="3332" max="3332" width="15.5546875" style="1" customWidth="1"/>
    <col min="3333" max="3333" width="10" style="1" bestFit="1" customWidth="1"/>
    <col min="3334" max="3338" width="9.109375" style="1"/>
    <col min="3339" max="3339" width="9.6640625" style="1" bestFit="1" customWidth="1"/>
    <col min="3340" max="3584" width="9.109375" style="1"/>
    <col min="3585" max="3585" width="13.44140625" style="1" customWidth="1"/>
    <col min="3586" max="3587" width="12.33203125" style="1" customWidth="1"/>
    <col min="3588" max="3588" width="15.5546875" style="1" customWidth="1"/>
    <col min="3589" max="3589" width="10" style="1" bestFit="1" customWidth="1"/>
    <col min="3590" max="3594" width="9.109375" style="1"/>
    <col min="3595" max="3595" width="9.6640625" style="1" bestFit="1" customWidth="1"/>
    <col min="3596" max="3840" width="9.109375" style="1"/>
    <col min="3841" max="3841" width="13.44140625" style="1" customWidth="1"/>
    <col min="3842" max="3843" width="12.33203125" style="1" customWidth="1"/>
    <col min="3844" max="3844" width="15.5546875" style="1" customWidth="1"/>
    <col min="3845" max="3845" width="10" style="1" bestFit="1" customWidth="1"/>
    <col min="3846" max="3850" width="9.109375" style="1"/>
    <col min="3851" max="3851" width="9.6640625" style="1" bestFit="1" customWidth="1"/>
    <col min="3852" max="4096" width="9.109375" style="1"/>
    <col min="4097" max="4097" width="13.44140625" style="1" customWidth="1"/>
    <col min="4098" max="4099" width="12.33203125" style="1" customWidth="1"/>
    <col min="4100" max="4100" width="15.5546875" style="1" customWidth="1"/>
    <col min="4101" max="4101" width="10" style="1" bestFit="1" customWidth="1"/>
    <col min="4102" max="4106" width="9.109375" style="1"/>
    <col min="4107" max="4107" width="9.6640625" style="1" bestFit="1" customWidth="1"/>
    <col min="4108" max="4352" width="9.109375" style="1"/>
    <col min="4353" max="4353" width="13.44140625" style="1" customWidth="1"/>
    <col min="4354" max="4355" width="12.33203125" style="1" customWidth="1"/>
    <col min="4356" max="4356" width="15.5546875" style="1" customWidth="1"/>
    <col min="4357" max="4357" width="10" style="1" bestFit="1" customWidth="1"/>
    <col min="4358" max="4362" width="9.109375" style="1"/>
    <col min="4363" max="4363" width="9.6640625" style="1" bestFit="1" customWidth="1"/>
    <col min="4364" max="4608" width="9.109375" style="1"/>
    <col min="4609" max="4609" width="13.44140625" style="1" customWidth="1"/>
    <col min="4610" max="4611" width="12.33203125" style="1" customWidth="1"/>
    <col min="4612" max="4612" width="15.5546875" style="1" customWidth="1"/>
    <col min="4613" max="4613" width="10" style="1" bestFit="1" customWidth="1"/>
    <col min="4614" max="4618" width="9.109375" style="1"/>
    <col min="4619" max="4619" width="9.6640625" style="1" bestFit="1" customWidth="1"/>
    <col min="4620" max="4864" width="9.109375" style="1"/>
    <col min="4865" max="4865" width="13.44140625" style="1" customWidth="1"/>
    <col min="4866" max="4867" width="12.33203125" style="1" customWidth="1"/>
    <col min="4868" max="4868" width="15.5546875" style="1" customWidth="1"/>
    <col min="4869" max="4869" width="10" style="1" bestFit="1" customWidth="1"/>
    <col min="4870" max="4874" width="9.109375" style="1"/>
    <col min="4875" max="4875" width="9.6640625" style="1" bestFit="1" customWidth="1"/>
    <col min="4876" max="5120" width="9.109375" style="1"/>
    <col min="5121" max="5121" width="13.44140625" style="1" customWidth="1"/>
    <col min="5122" max="5123" width="12.33203125" style="1" customWidth="1"/>
    <col min="5124" max="5124" width="15.5546875" style="1" customWidth="1"/>
    <col min="5125" max="5125" width="10" style="1" bestFit="1" customWidth="1"/>
    <col min="5126" max="5130" width="9.109375" style="1"/>
    <col min="5131" max="5131" width="9.6640625" style="1" bestFit="1" customWidth="1"/>
    <col min="5132" max="5376" width="9.109375" style="1"/>
    <col min="5377" max="5377" width="13.44140625" style="1" customWidth="1"/>
    <col min="5378" max="5379" width="12.33203125" style="1" customWidth="1"/>
    <col min="5380" max="5380" width="15.5546875" style="1" customWidth="1"/>
    <col min="5381" max="5381" width="10" style="1" bestFit="1" customWidth="1"/>
    <col min="5382" max="5386" width="9.109375" style="1"/>
    <col min="5387" max="5387" width="9.6640625" style="1" bestFit="1" customWidth="1"/>
    <col min="5388" max="5632" width="9.109375" style="1"/>
    <col min="5633" max="5633" width="13.44140625" style="1" customWidth="1"/>
    <col min="5634" max="5635" width="12.33203125" style="1" customWidth="1"/>
    <col min="5636" max="5636" width="15.5546875" style="1" customWidth="1"/>
    <col min="5637" max="5637" width="10" style="1" bestFit="1" customWidth="1"/>
    <col min="5638" max="5642" width="9.109375" style="1"/>
    <col min="5643" max="5643" width="9.6640625" style="1" bestFit="1" customWidth="1"/>
    <col min="5644" max="5888" width="9.109375" style="1"/>
    <col min="5889" max="5889" width="13.44140625" style="1" customWidth="1"/>
    <col min="5890" max="5891" width="12.33203125" style="1" customWidth="1"/>
    <col min="5892" max="5892" width="15.5546875" style="1" customWidth="1"/>
    <col min="5893" max="5893" width="10" style="1" bestFit="1" customWidth="1"/>
    <col min="5894" max="5898" width="9.109375" style="1"/>
    <col min="5899" max="5899" width="9.6640625" style="1" bestFit="1" customWidth="1"/>
    <col min="5900" max="6144" width="9.109375" style="1"/>
    <col min="6145" max="6145" width="13.44140625" style="1" customWidth="1"/>
    <col min="6146" max="6147" width="12.33203125" style="1" customWidth="1"/>
    <col min="6148" max="6148" width="15.5546875" style="1" customWidth="1"/>
    <col min="6149" max="6149" width="10" style="1" bestFit="1" customWidth="1"/>
    <col min="6150" max="6154" width="9.109375" style="1"/>
    <col min="6155" max="6155" width="9.6640625" style="1" bestFit="1" customWidth="1"/>
    <col min="6156" max="6400" width="9.109375" style="1"/>
    <col min="6401" max="6401" width="13.44140625" style="1" customWidth="1"/>
    <col min="6402" max="6403" width="12.33203125" style="1" customWidth="1"/>
    <col min="6404" max="6404" width="15.5546875" style="1" customWidth="1"/>
    <col min="6405" max="6405" width="10" style="1" bestFit="1" customWidth="1"/>
    <col min="6406" max="6410" width="9.109375" style="1"/>
    <col min="6411" max="6411" width="9.6640625" style="1" bestFit="1" customWidth="1"/>
    <col min="6412" max="6656" width="9.109375" style="1"/>
    <col min="6657" max="6657" width="13.44140625" style="1" customWidth="1"/>
    <col min="6658" max="6659" width="12.33203125" style="1" customWidth="1"/>
    <col min="6660" max="6660" width="15.5546875" style="1" customWidth="1"/>
    <col min="6661" max="6661" width="10" style="1" bestFit="1" customWidth="1"/>
    <col min="6662" max="6666" width="9.109375" style="1"/>
    <col min="6667" max="6667" width="9.6640625" style="1" bestFit="1" customWidth="1"/>
    <col min="6668" max="6912" width="9.109375" style="1"/>
    <col min="6913" max="6913" width="13.44140625" style="1" customWidth="1"/>
    <col min="6914" max="6915" width="12.33203125" style="1" customWidth="1"/>
    <col min="6916" max="6916" width="15.5546875" style="1" customWidth="1"/>
    <col min="6917" max="6917" width="10" style="1" bestFit="1" customWidth="1"/>
    <col min="6918" max="6922" width="9.109375" style="1"/>
    <col min="6923" max="6923" width="9.6640625" style="1" bestFit="1" customWidth="1"/>
    <col min="6924" max="7168" width="9.109375" style="1"/>
    <col min="7169" max="7169" width="13.44140625" style="1" customWidth="1"/>
    <col min="7170" max="7171" width="12.33203125" style="1" customWidth="1"/>
    <col min="7172" max="7172" width="15.5546875" style="1" customWidth="1"/>
    <col min="7173" max="7173" width="10" style="1" bestFit="1" customWidth="1"/>
    <col min="7174" max="7178" width="9.109375" style="1"/>
    <col min="7179" max="7179" width="9.6640625" style="1" bestFit="1" customWidth="1"/>
    <col min="7180" max="7424" width="9.109375" style="1"/>
    <col min="7425" max="7425" width="13.44140625" style="1" customWidth="1"/>
    <col min="7426" max="7427" width="12.33203125" style="1" customWidth="1"/>
    <col min="7428" max="7428" width="15.5546875" style="1" customWidth="1"/>
    <col min="7429" max="7429" width="10" style="1" bestFit="1" customWidth="1"/>
    <col min="7430" max="7434" width="9.109375" style="1"/>
    <col min="7435" max="7435" width="9.6640625" style="1" bestFit="1" customWidth="1"/>
    <col min="7436" max="7680" width="9.109375" style="1"/>
    <col min="7681" max="7681" width="13.44140625" style="1" customWidth="1"/>
    <col min="7682" max="7683" width="12.33203125" style="1" customWidth="1"/>
    <col min="7684" max="7684" width="15.5546875" style="1" customWidth="1"/>
    <col min="7685" max="7685" width="10" style="1" bestFit="1" customWidth="1"/>
    <col min="7686" max="7690" width="9.109375" style="1"/>
    <col min="7691" max="7691" width="9.6640625" style="1" bestFit="1" customWidth="1"/>
    <col min="7692" max="7936" width="9.109375" style="1"/>
    <col min="7937" max="7937" width="13.44140625" style="1" customWidth="1"/>
    <col min="7938" max="7939" width="12.33203125" style="1" customWidth="1"/>
    <col min="7940" max="7940" width="15.5546875" style="1" customWidth="1"/>
    <col min="7941" max="7941" width="10" style="1" bestFit="1" customWidth="1"/>
    <col min="7942" max="7946" width="9.109375" style="1"/>
    <col min="7947" max="7947" width="9.6640625" style="1" bestFit="1" customWidth="1"/>
    <col min="7948" max="8192" width="9.109375" style="1"/>
    <col min="8193" max="8193" width="13.44140625" style="1" customWidth="1"/>
    <col min="8194" max="8195" width="12.33203125" style="1" customWidth="1"/>
    <col min="8196" max="8196" width="15.5546875" style="1" customWidth="1"/>
    <col min="8197" max="8197" width="10" style="1" bestFit="1" customWidth="1"/>
    <col min="8198" max="8202" width="9.109375" style="1"/>
    <col min="8203" max="8203" width="9.6640625" style="1" bestFit="1" customWidth="1"/>
    <col min="8204" max="8448" width="9.109375" style="1"/>
    <col min="8449" max="8449" width="13.44140625" style="1" customWidth="1"/>
    <col min="8450" max="8451" width="12.33203125" style="1" customWidth="1"/>
    <col min="8452" max="8452" width="15.5546875" style="1" customWidth="1"/>
    <col min="8453" max="8453" width="10" style="1" bestFit="1" customWidth="1"/>
    <col min="8454" max="8458" width="9.109375" style="1"/>
    <col min="8459" max="8459" width="9.6640625" style="1" bestFit="1" customWidth="1"/>
    <col min="8460" max="8704" width="9.109375" style="1"/>
    <col min="8705" max="8705" width="13.44140625" style="1" customWidth="1"/>
    <col min="8706" max="8707" width="12.33203125" style="1" customWidth="1"/>
    <col min="8708" max="8708" width="15.5546875" style="1" customWidth="1"/>
    <col min="8709" max="8709" width="10" style="1" bestFit="1" customWidth="1"/>
    <col min="8710" max="8714" width="9.109375" style="1"/>
    <col min="8715" max="8715" width="9.6640625" style="1" bestFit="1" customWidth="1"/>
    <col min="8716" max="8960" width="9.109375" style="1"/>
    <col min="8961" max="8961" width="13.44140625" style="1" customWidth="1"/>
    <col min="8962" max="8963" width="12.33203125" style="1" customWidth="1"/>
    <col min="8964" max="8964" width="15.5546875" style="1" customWidth="1"/>
    <col min="8965" max="8965" width="10" style="1" bestFit="1" customWidth="1"/>
    <col min="8966" max="8970" width="9.109375" style="1"/>
    <col min="8971" max="8971" width="9.6640625" style="1" bestFit="1" customWidth="1"/>
    <col min="8972" max="9216" width="9.109375" style="1"/>
    <col min="9217" max="9217" width="13.44140625" style="1" customWidth="1"/>
    <col min="9218" max="9219" width="12.33203125" style="1" customWidth="1"/>
    <col min="9220" max="9220" width="15.5546875" style="1" customWidth="1"/>
    <col min="9221" max="9221" width="10" style="1" bestFit="1" customWidth="1"/>
    <col min="9222" max="9226" width="9.109375" style="1"/>
    <col min="9227" max="9227" width="9.6640625" style="1" bestFit="1" customWidth="1"/>
    <col min="9228" max="9472" width="9.109375" style="1"/>
    <col min="9473" max="9473" width="13.44140625" style="1" customWidth="1"/>
    <col min="9474" max="9475" width="12.33203125" style="1" customWidth="1"/>
    <col min="9476" max="9476" width="15.5546875" style="1" customWidth="1"/>
    <col min="9477" max="9477" width="10" style="1" bestFit="1" customWidth="1"/>
    <col min="9478" max="9482" width="9.109375" style="1"/>
    <col min="9483" max="9483" width="9.6640625" style="1" bestFit="1" customWidth="1"/>
    <col min="9484" max="9728" width="9.109375" style="1"/>
    <col min="9729" max="9729" width="13.44140625" style="1" customWidth="1"/>
    <col min="9730" max="9731" width="12.33203125" style="1" customWidth="1"/>
    <col min="9732" max="9732" width="15.5546875" style="1" customWidth="1"/>
    <col min="9733" max="9733" width="10" style="1" bestFit="1" customWidth="1"/>
    <col min="9734" max="9738" width="9.109375" style="1"/>
    <col min="9739" max="9739" width="9.6640625" style="1" bestFit="1" customWidth="1"/>
    <col min="9740" max="9984" width="9.109375" style="1"/>
    <col min="9985" max="9985" width="13.44140625" style="1" customWidth="1"/>
    <col min="9986" max="9987" width="12.33203125" style="1" customWidth="1"/>
    <col min="9988" max="9988" width="15.5546875" style="1" customWidth="1"/>
    <col min="9989" max="9989" width="10" style="1" bestFit="1" customWidth="1"/>
    <col min="9990" max="9994" width="9.109375" style="1"/>
    <col min="9995" max="9995" width="9.6640625" style="1" bestFit="1" customWidth="1"/>
    <col min="9996" max="10240" width="9.109375" style="1"/>
    <col min="10241" max="10241" width="13.44140625" style="1" customWidth="1"/>
    <col min="10242" max="10243" width="12.33203125" style="1" customWidth="1"/>
    <col min="10244" max="10244" width="15.5546875" style="1" customWidth="1"/>
    <col min="10245" max="10245" width="10" style="1" bestFit="1" customWidth="1"/>
    <col min="10246" max="10250" width="9.109375" style="1"/>
    <col min="10251" max="10251" width="9.6640625" style="1" bestFit="1" customWidth="1"/>
    <col min="10252" max="10496" width="9.109375" style="1"/>
    <col min="10497" max="10497" width="13.44140625" style="1" customWidth="1"/>
    <col min="10498" max="10499" width="12.33203125" style="1" customWidth="1"/>
    <col min="10500" max="10500" width="15.5546875" style="1" customWidth="1"/>
    <col min="10501" max="10501" width="10" style="1" bestFit="1" customWidth="1"/>
    <col min="10502" max="10506" width="9.109375" style="1"/>
    <col min="10507" max="10507" width="9.6640625" style="1" bestFit="1" customWidth="1"/>
    <col min="10508" max="10752" width="9.109375" style="1"/>
    <col min="10753" max="10753" width="13.44140625" style="1" customWidth="1"/>
    <col min="10754" max="10755" width="12.33203125" style="1" customWidth="1"/>
    <col min="10756" max="10756" width="15.5546875" style="1" customWidth="1"/>
    <col min="10757" max="10757" width="10" style="1" bestFit="1" customWidth="1"/>
    <col min="10758" max="10762" width="9.109375" style="1"/>
    <col min="10763" max="10763" width="9.6640625" style="1" bestFit="1" customWidth="1"/>
    <col min="10764" max="11008" width="9.109375" style="1"/>
    <col min="11009" max="11009" width="13.44140625" style="1" customWidth="1"/>
    <col min="11010" max="11011" width="12.33203125" style="1" customWidth="1"/>
    <col min="11012" max="11012" width="15.5546875" style="1" customWidth="1"/>
    <col min="11013" max="11013" width="10" style="1" bestFit="1" customWidth="1"/>
    <col min="11014" max="11018" width="9.109375" style="1"/>
    <col min="11019" max="11019" width="9.6640625" style="1" bestFit="1" customWidth="1"/>
    <col min="11020" max="11264" width="9.109375" style="1"/>
    <col min="11265" max="11265" width="13.44140625" style="1" customWidth="1"/>
    <col min="11266" max="11267" width="12.33203125" style="1" customWidth="1"/>
    <col min="11268" max="11268" width="15.5546875" style="1" customWidth="1"/>
    <col min="11269" max="11269" width="10" style="1" bestFit="1" customWidth="1"/>
    <col min="11270" max="11274" width="9.109375" style="1"/>
    <col min="11275" max="11275" width="9.6640625" style="1" bestFit="1" customWidth="1"/>
    <col min="11276" max="11520" width="9.109375" style="1"/>
    <col min="11521" max="11521" width="13.44140625" style="1" customWidth="1"/>
    <col min="11522" max="11523" width="12.33203125" style="1" customWidth="1"/>
    <col min="11524" max="11524" width="15.5546875" style="1" customWidth="1"/>
    <col min="11525" max="11525" width="10" style="1" bestFit="1" customWidth="1"/>
    <col min="11526" max="11530" width="9.109375" style="1"/>
    <col min="11531" max="11531" width="9.6640625" style="1" bestFit="1" customWidth="1"/>
    <col min="11532" max="11776" width="9.109375" style="1"/>
    <col min="11777" max="11777" width="13.44140625" style="1" customWidth="1"/>
    <col min="11778" max="11779" width="12.33203125" style="1" customWidth="1"/>
    <col min="11780" max="11780" width="15.5546875" style="1" customWidth="1"/>
    <col min="11781" max="11781" width="10" style="1" bestFit="1" customWidth="1"/>
    <col min="11782" max="11786" width="9.109375" style="1"/>
    <col min="11787" max="11787" width="9.6640625" style="1" bestFit="1" customWidth="1"/>
    <col min="11788" max="12032" width="9.109375" style="1"/>
    <col min="12033" max="12033" width="13.44140625" style="1" customWidth="1"/>
    <col min="12034" max="12035" width="12.33203125" style="1" customWidth="1"/>
    <col min="12036" max="12036" width="15.5546875" style="1" customWidth="1"/>
    <col min="12037" max="12037" width="10" style="1" bestFit="1" customWidth="1"/>
    <col min="12038" max="12042" width="9.109375" style="1"/>
    <col min="12043" max="12043" width="9.6640625" style="1" bestFit="1" customWidth="1"/>
    <col min="12044" max="12288" width="9.109375" style="1"/>
    <col min="12289" max="12289" width="13.44140625" style="1" customWidth="1"/>
    <col min="12290" max="12291" width="12.33203125" style="1" customWidth="1"/>
    <col min="12292" max="12292" width="15.5546875" style="1" customWidth="1"/>
    <col min="12293" max="12293" width="10" style="1" bestFit="1" customWidth="1"/>
    <col min="12294" max="12298" width="9.109375" style="1"/>
    <col min="12299" max="12299" width="9.6640625" style="1" bestFit="1" customWidth="1"/>
    <col min="12300" max="12544" width="9.109375" style="1"/>
    <col min="12545" max="12545" width="13.44140625" style="1" customWidth="1"/>
    <col min="12546" max="12547" width="12.33203125" style="1" customWidth="1"/>
    <col min="12548" max="12548" width="15.5546875" style="1" customWidth="1"/>
    <col min="12549" max="12549" width="10" style="1" bestFit="1" customWidth="1"/>
    <col min="12550" max="12554" width="9.109375" style="1"/>
    <col min="12555" max="12555" width="9.6640625" style="1" bestFit="1" customWidth="1"/>
    <col min="12556" max="12800" width="9.109375" style="1"/>
    <col min="12801" max="12801" width="13.44140625" style="1" customWidth="1"/>
    <col min="12802" max="12803" width="12.33203125" style="1" customWidth="1"/>
    <col min="12804" max="12804" width="15.5546875" style="1" customWidth="1"/>
    <col min="12805" max="12805" width="10" style="1" bestFit="1" customWidth="1"/>
    <col min="12806" max="12810" width="9.109375" style="1"/>
    <col min="12811" max="12811" width="9.6640625" style="1" bestFit="1" customWidth="1"/>
    <col min="12812" max="13056" width="9.109375" style="1"/>
    <col min="13057" max="13057" width="13.44140625" style="1" customWidth="1"/>
    <col min="13058" max="13059" width="12.33203125" style="1" customWidth="1"/>
    <col min="13060" max="13060" width="15.5546875" style="1" customWidth="1"/>
    <col min="13061" max="13061" width="10" style="1" bestFit="1" customWidth="1"/>
    <col min="13062" max="13066" width="9.109375" style="1"/>
    <col min="13067" max="13067" width="9.6640625" style="1" bestFit="1" customWidth="1"/>
    <col min="13068" max="13312" width="9.109375" style="1"/>
    <col min="13313" max="13313" width="13.44140625" style="1" customWidth="1"/>
    <col min="13314" max="13315" width="12.33203125" style="1" customWidth="1"/>
    <col min="13316" max="13316" width="15.5546875" style="1" customWidth="1"/>
    <col min="13317" max="13317" width="10" style="1" bestFit="1" customWidth="1"/>
    <col min="13318" max="13322" width="9.109375" style="1"/>
    <col min="13323" max="13323" width="9.6640625" style="1" bestFit="1" customWidth="1"/>
    <col min="13324" max="13568" width="9.109375" style="1"/>
    <col min="13569" max="13569" width="13.44140625" style="1" customWidth="1"/>
    <col min="13570" max="13571" width="12.33203125" style="1" customWidth="1"/>
    <col min="13572" max="13572" width="15.5546875" style="1" customWidth="1"/>
    <col min="13573" max="13573" width="10" style="1" bestFit="1" customWidth="1"/>
    <col min="13574" max="13578" width="9.109375" style="1"/>
    <col min="13579" max="13579" width="9.6640625" style="1" bestFit="1" customWidth="1"/>
    <col min="13580" max="13824" width="9.109375" style="1"/>
    <col min="13825" max="13825" width="13.44140625" style="1" customWidth="1"/>
    <col min="13826" max="13827" width="12.33203125" style="1" customWidth="1"/>
    <col min="13828" max="13828" width="15.5546875" style="1" customWidth="1"/>
    <col min="13829" max="13829" width="10" style="1" bestFit="1" customWidth="1"/>
    <col min="13830" max="13834" width="9.109375" style="1"/>
    <col min="13835" max="13835" width="9.6640625" style="1" bestFit="1" customWidth="1"/>
    <col min="13836" max="14080" width="9.109375" style="1"/>
    <col min="14081" max="14081" width="13.44140625" style="1" customWidth="1"/>
    <col min="14082" max="14083" width="12.33203125" style="1" customWidth="1"/>
    <col min="14084" max="14084" width="15.5546875" style="1" customWidth="1"/>
    <col min="14085" max="14085" width="10" style="1" bestFit="1" customWidth="1"/>
    <col min="14086" max="14090" width="9.109375" style="1"/>
    <col min="14091" max="14091" width="9.6640625" style="1" bestFit="1" customWidth="1"/>
    <col min="14092" max="14336" width="9.109375" style="1"/>
    <col min="14337" max="14337" width="13.44140625" style="1" customWidth="1"/>
    <col min="14338" max="14339" width="12.33203125" style="1" customWidth="1"/>
    <col min="14340" max="14340" width="15.5546875" style="1" customWidth="1"/>
    <col min="14341" max="14341" width="10" style="1" bestFit="1" customWidth="1"/>
    <col min="14342" max="14346" width="9.109375" style="1"/>
    <col min="14347" max="14347" width="9.6640625" style="1" bestFit="1" customWidth="1"/>
    <col min="14348" max="14592" width="9.109375" style="1"/>
    <col min="14593" max="14593" width="13.44140625" style="1" customWidth="1"/>
    <col min="14594" max="14595" width="12.33203125" style="1" customWidth="1"/>
    <col min="14596" max="14596" width="15.5546875" style="1" customWidth="1"/>
    <col min="14597" max="14597" width="10" style="1" bestFit="1" customWidth="1"/>
    <col min="14598" max="14602" width="9.109375" style="1"/>
    <col min="14603" max="14603" width="9.6640625" style="1" bestFit="1" customWidth="1"/>
    <col min="14604" max="14848" width="9.109375" style="1"/>
    <col min="14849" max="14849" width="13.44140625" style="1" customWidth="1"/>
    <col min="14850" max="14851" width="12.33203125" style="1" customWidth="1"/>
    <col min="14852" max="14852" width="15.5546875" style="1" customWidth="1"/>
    <col min="14853" max="14853" width="10" style="1" bestFit="1" customWidth="1"/>
    <col min="14854" max="14858" width="9.109375" style="1"/>
    <col min="14859" max="14859" width="9.6640625" style="1" bestFit="1" customWidth="1"/>
    <col min="14860" max="15104" width="9.109375" style="1"/>
    <col min="15105" max="15105" width="13.44140625" style="1" customWidth="1"/>
    <col min="15106" max="15107" width="12.33203125" style="1" customWidth="1"/>
    <col min="15108" max="15108" width="15.5546875" style="1" customWidth="1"/>
    <col min="15109" max="15109" width="10" style="1" bestFit="1" customWidth="1"/>
    <col min="15110" max="15114" width="9.109375" style="1"/>
    <col min="15115" max="15115" width="9.6640625" style="1" bestFit="1" customWidth="1"/>
    <col min="15116" max="15360" width="9.109375" style="1"/>
    <col min="15361" max="15361" width="13.44140625" style="1" customWidth="1"/>
    <col min="15362" max="15363" width="12.33203125" style="1" customWidth="1"/>
    <col min="15364" max="15364" width="15.5546875" style="1" customWidth="1"/>
    <col min="15365" max="15365" width="10" style="1" bestFit="1" customWidth="1"/>
    <col min="15366" max="15370" width="9.109375" style="1"/>
    <col min="15371" max="15371" width="9.6640625" style="1" bestFit="1" customWidth="1"/>
    <col min="15372" max="15616" width="9.109375" style="1"/>
    <col min="15617" max="15617" width="13.44140625" style="1" customWidth="1"/>
    <col min="15618" max="15619" width="12.33203125" style="1" customWidth="1"/>
    <col min="15620" max="15620" width="15.5546875" style="1" customWidth="1"/>
    <col min="15621" max="15621" width="10" style="1" bestFit="1" customWidth="1"/>
    <col min="15622" max="15626" width="9.109375" style="1"/>
    <col min="15627" max="15627" width="9.6640625" style="1" bestFit="1" customWidth="1"/>
    <col min="15628" max="15872" width="9.109375" style="1"/>
    <col min="15873" max="15873" width="13.44140625" style="1" customWidth="1"/>
    <col min="15874" max="15875" width="12.33203125" style="1" customWidth="1"/>
    <col min="15876" max="15876" width="15.5546875" style="1" customWidth="1"/>
    <col min="15877" max="15877" width="10" style="1" bestFit="1" customWidth="1"/>
    <col min="15878" max="15882" width="9.109375" style="1"/>
    <col min="15883" max="15883" width="9.6640625" style="1" bestFit="1" customWidth="1"/>
    <col min="15884" max="16128" width="9.109375" style="1"/>
    <col min="16129" max="16129" width="13.44140625" style="1" customWidth="1"/>
    <col min="16130" max="16131" width="12.33203125" style="1" customWidth="1"/>
    <col min="16132" max="16132" width="15.5546875" style="1" customWidth="1"/>
    <col min="16133" max="16133" width="10" style="1" bestFit="1" customWidth="1"/>
    <col min="16134" max="16138" width="9.109375" style="1"/>
    <col min="16139" max="16139" width="9.6640625" style="1" bestFit="1" customWidth="1"/>
    <col min="16140" max="16383" width="9.109375" style="1"/>
    <col min="16384" max="16384" width="9.109375" style="1" customWidth="1"/>
  </cols>
  <sheetData>
    <row r="2" spans="1:5" x14ac:dyDescent="0.25">
      <c r="A2" s="2"/>
      <c r="B2" s="2" t="s">
        <v>15</v>
      </c>
      <c r="C2" s="2"/>
      <c r="D2" s="2"/>
      <c r="E2" s="2"/>
    </row>
    <row r="3" spans="1:5" ht="13.8" thickBot="1" x14ac:dyDescent="0.3"/>
    <row r="4" spans="1:5" x14ac:dyDescent="0.25">
      <c r="A4" s="23">
        <v>45505</v>
      </c>
      <c r="B4" s="24"/>
      <c r="C4" s="24"/>
      <c r="D4" s="24"/>
      <c r="E4" s="24"/>
    </row>
    <row r="5" spans="1:5" x14ac:dyDescent="0.25">
      <c r="A5" s="25" t="s">
        <v>0</v>
      </c>
      <c r="B5" s="27" t="s">
        <v>1</v>
      </c>
      <c r="C5" s="29" t="s">
        <v>2</v>
      </c>
      <c r="D5" s="27" t="s">
        <v>3</v>
      </c>
      <c r="E5" s="30" t="s">
        <v>4</v>
      </c>
    </row>
    <row r="6" spans="1:5" x14ac:dyDescent="0.25">
      <c r="A6" s="26"/>
      <c r="B6" s="28"/>
      <c r="C6" s="28"/>
      <c r="D6" s="28"/>
      <c r="E6" s="31"/>
    </row>
    <row r="7" spans="1:5" x14ac:dyDescent="0.25">
      <c r="A7" s="3" t="str">
        <f>CHOOSE(WEEKDAY(B7),"SUN","MON","TUES","WED","THU","FRI","SAT")</f>
        <v>THU</v>
      </c>
      <c r="B7" s="4">
        <v>45505</v>
      </c>
      <c r="C7" s="5">
        <v>27270</v>
      </c>
      <c r="D7" s="5">
        <v>26912</v>
      </c>
      <c r="E7" s="6">
        <v>54182</v>
      </c>
    </row>
    <row r="8" spans="1:5" ht="13.5" customHeight="1" x14ac:dyDescent="0.25">
      <c r="A8" s="3" t="str">
        <f t="shared" ref="A8:A35" si="0">CHOOSE(WEEKDAY(B8),"SUN","MON","TUES","WED","THU","FRI","SAT")</f>
        <v>FRI</v>
      </c>
      <c r="B8" s="4">
        <f>B7+1</f>
        <v>45506</v>
      </c>
      <c r="C8" s="5">
        <v>26883</v>
      </c>
      <c r="D8" s="5">
        <v>26254</v>
      </c>
      <c r="E8" s="6">
        <v>53137</v>
      </c>
    </row>
    <row r="9" spans="1:5" ht="13.5" customHeight="1" x14ac:dyDescent="0.25">
      <c r="A9" s="3" t="str">
        <f t="shared" si="0"/>
        <v>SAT</v>
      </c>
      <c r="B9" s="4">
        <f>B8+1</f>
        <v>45507</v>
      </c>
      <c r="C9" s="5">
        <v>25227</v>
      </c>
      <c r="D9" s="5">
        <v>24370</v>
      </c>
      <c r="E9" s="6">
        <v>49597</v>
      </c>
    </row>
    <row r="10" spans="1:5" ht="13.5" customHeight="1" x14ac:dyDescent="0.25">
      <c r="A10" s="3" t="str">
        <f t="shared" si="0"/>
        <v>SUN</v>
      </c>
      <c r="B10" s="4">
        <f t="shared" ref="B10:B33" si="1">B9+1</f>
        <v>45508</v>
      </c>
      <c r="C10" s="5">
        <v>20282</v>
      </c>
      <c r="D10" s="5">
        <v>19541</v>
      </c>
      <c r="E10" s="6">
        <v>39823</v>
      </c>
    </row>
    <row r="11" spans="1:5" ht="13.5" customHeight="1" x14ac:dyDescent="0.25">
      <c r="A11" s="3" t="str">
        <f t="shared" si="0"/>
        <v>MON</v>
      </c>
      <c r="B11" s="4">
        <f t="shared" si="1"/>
        <v>45509</v>
      </c>
      <c r="C11" s="6">
        <v>30656</v>
      </c>
      <c r="D11" s="6">
        <v>30016</v>
      </c>
      <c r="E11" s="6">
        <v>60672</v>
      </c>
    </row>
    <row r="12" spans="1:5" ht="13.5" customHeight="1" x14ac:dyDescent="0.25">
      <c r="A12" s="3" t="str">
        <f t="shared" si="0"/>
        <v>TUES</v>
      </c>
      <c r="B12" s="4">
        <f t="shared" si="1"/>
        <v>45510</v>
      </c>
      <c r="C12" s="5">
        <v>25442</v>
      </c>
      <c r="D12" s="5">
        <v>24514</v>
      </c>
      <c r="E12" s="6">
        <v>49956</v>
      </c>
    </row>
    <row r="13" spans="1:5" ht="13.5" customHeight="1" x14ac:dyDescent="0.25">
      <c r="A13" s="3" t="str">
        <f t="shared" si="0"/>
        <v>WED</v>
      </c>
      <c r="B13" s="4">
        <f t="shared" si="1"/>
        <v>45511</v>
      </c>
      <c r="C13" s="5">
        <v>22474</v>
      </c>
      <c r="D13" s="5">
        <v>22102</v>
      </c>
      <c r="E13" s="6">
        <v>44576</v>
      </c>
    </row>
    <row r="14" spans="1:5" ht="13.5" customHeight="1" x14ac:dyDescent="0.25">
      <c r="A14" s="3" t="str">
        <f t="shared" si="0"/>
        <v>THU</v>
      </c>
      <c r="B14" s="4">
        <f t="shared" si="1"/>
        <v>45512</v>
      </c>
      <c r="C14" s="5">
        <v>22129</v>
      </c>
      <c r="D14" s="5">
        <v>21835</v>
      </c>
      <c r="E14" s="6">
        <v>43964</v>
      </c>
    </row>
    <row r="15" spans="1:5" ht="13.5" customHeight="1" x14ac:dyDescent="0.25">
      <c r="A15" s="3" t="str">
        <f t="shared" si="0"/>
        <v>FRI</v>
      </c>
      <c r="B15" s="4">
        <f t="shared" si="1"/>
        <v>45513</v>
      </c>
      <c r="C15" s="5">
        <v>21984</v>
      </c>
      <c r="D15" s="5">
        <v>21756</v>
      </c>
      <c r="E15" s="6">
        <v>43740</v>
      </c>
    </row>
    <row r="16" spans="1:5" ht="13.5" customHeight="1" x14ac:dyDescent="0.25">
      <c r="A16" s="3" t="str">
        <f t="shared" si="0"/>
        <v>SAT</v>
      </c>
      <c r="B16" s="4">
        <f t="shared" si="1"/>
        <v>45514</v>
      </c>
      <c r="C16" s="5">
        <v>32160</v>
      </c>
      <c r="D16" s="5">
        <v>31302</v>
      </c>
      <c r="E16" s="6">
        <v>63462</v>
      </c>
    </row>
    <row r="17" spans="1:5" ht="13.5" customHeight="1" x14ac:dyDescent="0.25">
      <c r="A17" s="3" t="str">
        <f t="shared" si="0"/>
        <v>SUN</v>
      </c>
      <c r="B17" s="4">
        <f t="shared" si="1"/>
        <v>45515</v>
      </c>
      <c r="C17" s="5">
        <v>26651</v>
      </c>
      <c r="D17" s="5">
        <v>25027</v>
      </c>
      <c r="E17" s="6">
        <v>51678</v>
      </c>
    </row>
    <row r="18" spans="1:5" ht="13.5" customHeight="1" x14ac:dyDescent="0.25">
      <c r="A18" s="3" t="str">
        <f t="shared" si="0"/>
        <v>MON</v>
      </c>
      <c r="B18" s="4">
        <f t="shared" si="1"/>
        <v>45516</v>
      </c>
      <c r="C18" s="5">
        <v>28382</v>
      </c>
      <c r="D18" s="5">
        <v>27957</v>
      </c>
      <c r="E18" s="6">
        <v>56339</v>
      </c>
    </row>
    <row r="19" spans="1:5" ht="13.5" customHeight="1" x14ac:dyDescent="0.25">
      <c r="A19" s="3" t="str">
        <f t="shared" si="0"/>
        <v>TUES</v>
      </c>
      <c r="B19" s="4">
        <f t="shared" si="1"/>
        <v>45517</v>
      </c>
      <c r="C19" s="5">
        <v>28540</v>
      </c>
      <c r="D19" s="5">
        <v>27686</v>
      </c>
      <c r="E19" s="6">
        <v>56226</v>
      </c>
    </row>
    <row r="20" spans="1:5" ht="13.5" customHeight="1" x14ac:dyDescent="0.25">
      <c r="A20" s="3" t="str">
        <f t="shared" si="0"/>
        <v>WED</v>
      </c>
      <c r="B20" s="4">
        <f t="shared" si="1"/>
        <v>45518</v>
      </c>
      <c r="C20" s="5">
        <v>28540</v>
      </c>
      <c r="D20" s="5">
        <v>28299</v>
      </c>
      <c r="E20" s="6">
        <f t="shared" ref="E20" si="2">SUM(C20:D20)</f>
        <v>56839</v>
      </c>
    </row>
    <row r="21" spans="1:5" ht="13.5" customHeight="1" x14ac:dyDescent="0.25">
      <c r="A21" s="3" t="str">
        <f t="shared" si="0"/>
        <v>THU</v>
      </c>
      <c r="B21" s="4">
        <f t="shared" si="1"/>
        <v>45519</v>
      </c>
      <c r="C21" s="5">
        <v>27934</v>
      </c>
      <c r="D21" s="5">
        <v>27230</v>
      </c>
      <c r="E21" s="6">
        <v>55164</v>
      </c>
    </row>
    <row r="22" spans="1:5" ht="13.5" customHeight="1" x14ac:dyDescent="0.25">
      <c r="A22" s="3" t="str">
        <f t="shared" si="0"/>
        <v>FRI</v>
      </c>
      <c r="B22" s="4">
        <f t="shared" si="1"/>
        <v>45520</v>
      </c>
      <c r="C22" s="5">
        <v>27832</v>
      </c>
      <c r="D22" s="5">
        <v>27601</v>
      </c>
      <c r="E22" s="6">
        <f t="shared" ref="E22" si="3">SUM(C22:D22)</f>
        <v>55433</v>
      </c>
    </row>
    <row r="23" spans="1:5" ht="13.5" customHeight="1" x14ac:dyDescent="0.25">
      <c r="A23" s="3" t="str">
        <f t="shared" si="0"/>
        <v>SAT</v>
      </c>
      <c r="B23" s="4">
        <f t="shared" si="1"/>
        <v>45521</v>
      </c>
      <c r="C23" s="5">
        <v>24881</v>
      </c>
      <c r="D23" s="5">
        <v>27832</v>
      </c>
      <c r="E23" s="6">
        <v>52713</v>
      </c>
    </row>
    <row r="24" spans="1:5" ht="13.5" customHeight="1" x14ac:dyDescent="0.25">
      <c r="A24" s="3" t="str">
        <f t="shared" si="0"/>
        <v>SUN</v>
      </c>
      <c r="B24" s="4">
        <f t="shared" si="1"/>
        <v>45522</v>
      </c>
      <c r="C24" s="5">
        <v>19096</v>
      </c>
      <c r="D24" s="5">
        <v>17946</v>
      </c>
      <c r="E24" s="6">
        <v>37042</v>
      </c>
    </row>
    <row r="25" spans="1:5" ht="13.5" customHeight="1" x14ac:dyDescent="0.25">
      <c r="A25" s="3" t="str">
        <f t="shared" si="0"/>
        <v>MON</v>
      </c>
      <c r="B25" s="4">
        <f t="shared" si="1"/>
        <v>45523</v>
      </c>
      <c r="C25" s="5">
        <v>26451</v>
      </c>
      <c r="D25" s="5">
        <v>26112</v>
      </c>
      <c r="E25" s="6">
        <v>52563</v>
      </c>
    </row>
    <row r="26" spans="1:5" ht="13.5" customHeight="1" x14ac:dyDescent="0.25">
      <c r="A26" s="3" t="str">
        <f t="shared" si="0"/>
        <v>TUES</v>
      </c>
      <c r="B26" s="4">
        <f>B25+1</f>
        <v>45524</v>
      </c>
      <c r="C26" s="5">
        <v>26932</v>
      </c>
      <c r="D26" s="5">
        <v>26510</v>
      </c>
      <c r="E26" s="6">
        <v>53442</v>
      </c>
    </row>
    <row r="27" spans="1:5" ht="13.5" customHeight="1" x14ac:dyDescent="0.25">
      <c r="A27" s="3" t="str">
        <f t="shared" si="0"/>
        <v>WED</v>
      </c>
      <c r="B27" s="4">
        <f t="shared" si="1"/>
        <v>45525</v>
      </c>
      <c r="C27" s="5">
        <v>27024</v>
      </c>
      <c r="D27" s="5">
        <v>26618</v>
      </c>
      <c r="E27" s="6">
        <v>53642</v>
      </c>
    </row>
    <row r="28" spans="1:5" ht="13.5" customHeight="1" x14ac:dyDescent="0.25">
      <c r="A28" s="3" t="str">
        <f t="shared" si="0"/>
        <v>THU</v>
      </c>
      <c r="B28" s="4">
        <f t="shared" si="1"/>
        <v>45526</v>
      </c>
      <c r="C28" s="5">
        <v>27108</v>
      </c>
      <c r="D28" s="5">
        <v>26753</v>
      </c>
      <c r="E28" s="6">
        <v>53861</v>
      </c>
    </row>
    <row r="29" spans="1:5" ht="13.5" customHeight="1" x14ac:dyDescent="0.25">
      <c r="A29" s="3" t="str">
        <f t="shared" si="0"/>
        <v>FRI</v>
      </c>
      <c r="B29" s="4">
        <f t="shared" si="1"/>
        <v>45527</v>
      </c>
      <c r="C29" s="5">
        <v>27788</v>
      </c>
      <c r="D29" s="5">
        <v>27788</v>
      </c>
      <c r="E29" s="6">
        <v>55576</v>
      </c>
    </row>
    <row r="30" spans="1:5" ht="13.5" customHeight="1" x14ac:dyDescent="0.25">
      <c r="A30" s="3" t="str">
        <f t="shared" si="0"/>
        <v>SAT</v>
      </c>
      <c r="B30" s="4">
        <f t="shared" si="1"/>
        <v>45528</v>
      </c>
      <c r="C30" s="5">
        <v>26415</v>
      </c>
      <c r="D30" s="5">
        <v>25381</v>
      </c>
      <c r="E30" s="6">
        <v>51796</v>
      </c>
    </row>
    <row r="31" spans="1:5" ht="13.5" customHeight="1" x14ac:dyDescent="0.25">
      <c r="A31" s="3" t="str">
        <f t="shared" si="0"/>
        <v>SUN</v>
      </c>
      <c r="B31" s="4">
        <f t="shared" si="1"/>
        <v>45529</v>
      </c>
      <c r="C31" s="5">
        <v>23057</v>
      </c>
      <c r="D31" s="5">
        <v>21850</v>
      </c>
      <c r="E31" s="6">
        <v>44907</v>
      </c>
    </row>
    <row r="32" spans="1:5" ht="13.5" customHeight="1" x14ac:dyDescent="0.25">
      <c r="A32" s="3" t="str">
        <f t="shared" si="0"/>
        <v>MON</v>
      </c>
      <c r="B32" s="4">
        <f t="shared" si="1"/>
        <v>45530</v>
      </c>
      <c r="C32" s="5">
        <v>25204</v>
      </c>
      <c r="D32" s="5">
        <v>24295</v>
      </c>
      <c r="E32" s="6">
        <v>49499</v>
      </c>
    </row>
    <row r="33" spans="1:5" ht="13.5" customHeight="1" x14ac:dyDescent="0.25">
      <c r="A33" s="3" t="str">
        <f t="shared" si="0"/>
        <v>TUES</v>
      </c>
      <c r="B33" s="4">
        <f t="shared" si="1"/>
        <v>45531</v>
      </c>
      <c r="C33" s="5">
        <v>26074</v>
      </c>
      <c r="D33" s="5">
        <v>25143</v>
      </c>
      <c r="E33" s="6">
        <f t="shared" ref="E33" si="4">SUM(C33:D33)</f>
        <v>51217</v>
      </c>
    </row>
    <row r="34" spans="1:5" ht="13.5" customHeight="1" x14ac:dyDescent="0.25">
      <c r="A34" s="3" t="str">
        <f t="shared" si="0"/>
        <v>WED</v>
      </c>
      <c r="B34" s="4">
        <f>B33+1</f>
        <v>45532</v>
      </c>
      <c r="C34" s="5">
        <v>25421</v>
      </c>
      <c r="D34" s="5">
        <v>24700</v>
      </c>
      <c r="E34" s="6">
        <v>50121</v>
      </c>
    </row>
    <row r="35" spans="1:5" ht="13.5" customHeight="1" x14ac:dyDescent="0.25">
      <c r="A35" s="3" t="str">
        <f t="shared" si="0"/>
        <v>THU</v>
      </c>
      <c r="B35" s="4">
        <f>B34+1</f>
        <v>45533</v>
      </c>
      <c r="C35" s="5">
        <v>25091</v>
      </c>
      <c r="D35" s="5">
        <v>25040</v>
      </c>
      <c r="E35" s="6">
        <v>50131</v>
      </c>
    </row>
    <row r="36" spans="1:5" ht="13.5" customHeight="1" x14ac:dyDescent="0.25">
      <c r="A36" s="3" t="str">
        <f>CHOOSE(WEEKDAY(B36),"SUN","MON","TUES","WED","THU","FRI","SAT")</f>
        <v>FRI</v>
      </c>
      <c r="B36" s="4">
        <f>B35+1</f>
        <v>45534</v>
      </c>
      <c r="C36" s="5">
        <v>25796</v>
      </c>
      <c r="D36" s="5">
        <v>25487</v>
      </c>
      <c r="E36" s="6">
        <v>51283</v>
      </c>
    </row>
    <row r="37" spans="1:5" ht="13.5" customHeight="1" x14ac:dyDescent="0.25">
      <c r="A37" s="3" t="str">
        <f>CHOOSE(WEEKDAY(B37),"SUN","MON","TUES","WED","THU","FRI","SAT")</f>
        <v>SAT</v>
      </c>
      <c r="B37" s="4">
        <f t="shared" ref="B37" si="5">B36+1</f>
        <v>45535</v>
      </c>
      <c r="C37" s="7">
        <v>26515</v>
      </c>
      <c r="D37" s="7">
        <v>25822</v>
      </c>
      <c r="E37" s="6">
        <v>52337</v>
      </c>
    </row>
    <row r="38" spans="1:5" ht="13.8" thickBot="1" x14ac:dyDescent="0.3">
      <c r="A38" s="19" t="s">
        <v>5</v>
      </c>
      <c r="B38" s="20"/>
      <c r="C38" s="8">
        <f>SUM(C7:C37)</f>
        <v>805239</v>
      </c>
      <c r="D38" s="8">
        <f>SUM(D7:D37)</f>
        <v>789679</v>
      </c>
      <c r="E38" s="8">
        <f>SUM(E7:E37)</f>
        <v>1594918</v>
      </c>
    </row>
    <row r="39" spans="1:5" ht="13.8" thickBot="1" x14ac:dyDescent="0.3">
      <c r="B39" s="10"/>
      <c r="C39" s="11"/>
      <c r="D39" s="11"/>
      <c r="E39" s="12"/>
    </row>
    <row r="40" spans="1:5" ht="13.8" thickBot="1" x14ac:dyDescent="0.3">
      <c r="A40" s="21" t="s">
        <v>6</v>
      </c>
      <c r="B40" s="22"/>
      <c r="C40" s="22"/>
      <c r="D40" s="22"/>
      <c r="E40" s="13">
        <f>E38</f>
        <v>1594918</v>
      </c>
    </row>
  </sheetData>
  <mergeCells count="8">
    <mergeCell ref="A38:B38"/>
    <mergeCell ref="A40:D40"/>
    <mergeCell ref="A4:E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D2DD-F5F8-40CA-9BF5-4904AD70FAA2}">
  <dimension ref="A2:E51"/>
  <sheetViews>
    <sheetView zoomScale="90" zoomScaleNormal="90" workbookViewId="0">
      <selection activeCell="A35" sqref="A35:A36"/>
    </sheetView>
  </sheetViews>
  <sheetFormatPr defaultRowHeight="13.2" x14ac:dyDescent="0.25"/>
  <cols>
    <col min="1" max="1" width="8.33203125" style="1" customWidth="1"/>
    <col min="2" max="2" width="11.44140625" style="1" customWidth="1"/>
    <col min="3" max="4" width="13" style="1" customWidth="1"/>
    <col min="5" max="5" width="14" style="1" customWidth="1"/>
    <col min="6" max="254" width="9.109375" style="1"/>
    <col min="255" max="255" width="8.33203125" style="1" customWidth="1"/>
    <col min="256" max="256" width="11.44140625" style="1" customWidth="1"/>
    <col min="257" max="258" width="13" style="1" customWidth="1"/>
    <col min="259" max="259" width="14" style="1" customWidth="1"/>
    <col min="260" max="260" width="10.33203125" style="1" bestFit="1" customWidth="1"/>
    <col min="261" max="510" width="9.109375" style="1"/>
    <col min="511" max="511" width="8.33203125" style="1" customWidth="1"/>
    <col min="512" max="512" width="11.44140625" style="1" customWidth="1"/>
    <col min="513" max="514" width="13" style="1" customWidth="1"/>
    <col min="515" max="515" width="14" style="1" customWidth="1"/>
    <col min="516" max="516" width="10.33203125" style="1" bestFit="1" customWidth="1"/>
    <col min="517" max="766" width="9.109375" style="1"/>
    <col min="767" max="767" width="8.33203125" style="1" customWidth="1"/>
    <col min="768" max="768" width="11.44140625" style="1" customWidth="1"/>
    <col min="769" max="770" width="13" style="1" customWidth="1"/>
    <col min="771" max="771" width="14" style="1" customWidth="1"/>
    <col min="772" max="772" width="10.33203125" style="1" bestFit="1" customWidth="1"/>
    <col min="773" max="1022" width="9.109375" style="1"/>
    <col min="1023" max="1023" width="8.33203125" style="1" customWidth="1"/>
    <col min="1024" max="1024" width="11.44140625" style="1" customWidth="1"/>
    <col min="1025" max="1026" width="13" style="1" customWidth="1"/>
    <col min="1027" max="1027" width="14" style="1" customWidth="1"/>
    <col min="1028" max="1028" width="10.33203125" style="1" bestFit="1" customWidth="1"/>
    <col min="1029" max="1278" width="9.109375" style="1"/>
    <col min="1279" max="1279" width="8.33203125" style="1" customWidth="1"/>
    <col min="1280" max="1280" width="11.44140625" style="1" customWidth="1"/>
    <col min="1281" max="1282" width="13" style="1" customWidth="1"/>
    <col min="1283" max="1283" width="14" style="1" customWidth="1"/>
    <col min="1284" max="1284" width="10.33203125" style="1" bestFit="1" customWidth="1"/>
    <col min="1285" max="1534" width="9.109375" style="1"/>
    <col min="1535" max="1535" width="8.33203125" style="1" customWidth="1"/>
    <col min="1536" max="1536" width="11.44140625" style="1" customWidth="1"/>
    <col min="1537" max="1538" width="13" style="1" customWidth="1"/>
    <col min="1539" max="1539" width="14" style="1" customWidth="1"/>
    <col min="1540" max="1540" width="10.33203125" style="1" bestFit="1" customWidth="1"/>
    <col min="1541" max="1790" width="9.109375" style="1"/>
    <col min="1791" max="1791" width="8.33203125" style="1" customWidth="1"/>
    <col min="1792" max="1792" width="11.44140625" style="1" customWidth="1"/>
    <col min="1793" max="1794" width="13" style="1" customWidth="1"/>
    <col min="1795" max="1795" width="14" style="1" customWidth="1"/>
    <col min="1796" max="1796" width="10.33203125" style="1" bestFit="1" customWidth="1"/>
    <col min="1797" max="2046" width="9.109375" style="1"/>
    <col min="2047" max="2047" width="8.33203125" style="1" customWidth="1"/>
    <col min="2048" max="2048" width="11.44140625" style="1" customWidth="1"/>
    <col min="2049" max="2050" width="13" style="1" customWidth="1"/>
    <col min="2051" max="2051" width="14" style="1" customWidth="1"/>
    <col min="2052" max="2052" width="10.33203125" style="1" bestFit="1" customWidth="1"/>
    <col min="2053" max="2302" width="9.109375" style="1"/>
    <col min="2303" max="2303" width="8.33203125" style="1" customWidth="1"/>
    <col min="2304" max="2304" width="11.44140625" style="1" customWidth="1"/>
    <col min="2305" max="2306" width="13" style="1" customWidth="1"/>
    <col min="2307" max="2307" width="14" style="1" customWidth="1"/>
    <col min="2308" max="2308" width="10.33203125" style="1" bestFit="1" customWidth="1"/>
    <col min="2309" max="2558" width="9.109375" style="1"/>
    <col min="2559" max="2559" width="8.33203125" style="1" customWidth="1"/>
    <col min="2560" max="2560" width="11.44140625" style="1" customWidth="1"/>
    <col min="2561" max="2562" width="13" style="1" customWidth="1"/>
    <col min="2563" max="2563" width="14" style="1" customWidth="1"/>
    <col min="2564" max="2564" width="10.33203125" style="1" bestFit="1" customWidth="1"/>
    <col min="2565" max="2814" width="9.109375" style="1"/>
    <col min="2815" max="2815" width="8.33203125" style="1" customWidth="1"/>
    <col min="2816" max="2816" width="11.44140625" style="1" customWidth="1"/>
    <col min="2817" max="2818" width="13" style="1" customWidth="1"/>
    <col min="2819" max="2819" width="14" style="1" customWidth="1"/>
    <col min="2820" max="2820" width="10.33203125" style="1" bestFit="1" customWidth="1"/>
    <col min="2821" max="3070" width="9.109375" style="1"/>
    <col min="3071" max="3071" width="8.33203125" style="1" customWidth="1"/>
    <col min="3072" max="3072" width="11.44140625" style="1" customWidth="1"/>
    <col min="3073" max="3074" width="13" style="1" customWidth="1"/>
    <col min="3075" max="3075" width="14" style="1" customWidth="1"/>
    <col min="3076" max="3076" width="10.33203125" style="1" bestFit="1" customWidth="1"/>
    <col min="3077" max="3326" width="9.109375" style="1"/>
    <col min="3327" max="3327" width="8.33203125" style="1" customWidth="1"/>
    <col min="3328" max="3328" width="11.44140625" style="1" customWidth="1"/>
    <col min="3329" max="3330" width="13" style="1" customWidth="1"/>
    <col min="3331" max="3331" width="14" style="1" customWidth="1"/>
    <col min="3332" max="3332" width="10.33203125" style="1" bestFit="1" customWidth="1"/>
    <col min="3333" max="3582" width="9.109375" style="1"/>
    <col min="3583" max="3583" width="8.33203125" style="1" customWidth="1"/>
    <col min="3584" max="3584" width="11.44140625" style="1" customWidth="1"/>
    <col min="3585" max="3586" width="13" style="1" customWidth="1"/>
    <col min="3587" max="3587" width="14" style="1" customWidth="1"/>
    <col min="3588" max="3588" width="10.33203125" style="1" bestFit="1" customWidth="1"/>
    <col min="3589" max="3838" width="9.109375" style="1"/>
    <col min="3839" max="3839" width="8.33203125" style="1" customWidth="1"/>
    <col min="3840" max="3840" width="11.44140625" style="1" customWidth="1"/>
    <col min="3841" max="3842" width="13" style="1" customWidth="1"/>
    <col min="3843" max="3843" width="14" style="1" customWidth="1"/>
    <col min="3844" max="3844" width="10.33203125" style="1" bestFit="1" customWidth="1"/>
    <col min="3845" max="4094" width="9.109375" style="1"/>
    <col min="4095" max="4095" width="8.33203125" style="1" customWidth="1"/>
    <col min="4096" max="4096" width="11.44140625" style="1" customWidth="1"/>
    <col min="4097" max="4098" width="13" style="1" customWidth="1"/>
    <col min="4099" max="4099" width="14" style="1" customWidth="1"/>
    <col min="4100" max="4100" width="10.33203125" style="1" bestFit="1" customWidth="1"/>
    <col min="4101" max="4350" width="9.109375" style="1"/>
    <col min="4351" max="4351" width="8.33203125" style="1" customWidth="1"/>
    <col min="4352" max="4352" width="11.44140625" style="1" customWidth="1"/>
    <col min="4353" max="4354" width="13" style="1" customWidth="1"/>
    <col min="4355" max="4355" width="14" style="1" customWidth="1"/>
    <col min="4356" max="4356" width="10.33203125" style="1" bestFit="1" customWidth="1"/>
    <col min="4357" max="4606" width="9.109375" style="1"/>
    <col min="4607" max="4607" width="8.33203125" style="1" customWidth="1"/>
    <col min="4608" max="4608" width="11.44140625" style="1" customWidth="1"/>
    <col min="4609" max="4610" width="13" style="1" customWidth="1"/>
    <col min="4611" max="4611" width="14" style="1" customWidth="1"/>
    <col min="4612" max="4612" width="10.33203125" style="1" bestFit="1" customWidth="1"/>
    <col min="4613" max="4862" width="9.109375" style="1"/>
    <col min="4863" max="4863" width="8.33203125" style="1" customWidth="1"/>
    <col min="4864" max="4864" width="11.44140625" style="1" customWidth="1"/>
    <col min="4865" max="4866" width="13" style="1" customWidth="1"/>
    <col min="4867" max="4867" width="14" style="1" customWidth="1"/>
    <col min="4868" max="4868" width="10.33203125" style="1" bestFit="1" customWidth="1"/>
    <col min="4869" max="5118" width="9.109375" style="1"/>
    <col min="5119" max="5119" width="8.33203125" style="1" customWidth="1"/>
    <col min="5120" max="5120" width="11.44140625" style="1" customWidth="1"/>
    <col min="5121" max="5122" width="13" style="1" customWidth="1"/>
    <col min="5123" max="5123" width="14" style="1" customWidth="1"/>
    <col min="5124" max="5124" width="10.33203125" style="1" bestFit="1" customWidth="1"/>
    <col min="5125" max="5374" width="9.109375" style="1"/>
    <col min="5375" max="5375" width="8.33203125" style="1" customWidth="1"/>
    <col min="5376" max="5376" width="11.44140625" style="1" customWidth="1"/>
    <col min="5377" max="5378" width="13" style="1" customWidth="1"/>
    <col min="5379" max="5379" width="14" style="1" customWidth="1"/>
    <col min="5380" max="5380" width="10.33203125" style="1" bestFit="1" customWidth="1"/>
    <col min="5381" max="5630" width="9.109375" style="1"/>
    <col min="5631" max="5631" width="8.33203125" style="1" customWidth="1"/>
    <col min="5632" max="5632" width="11.44140625" style="1" customWidth="1"/>
    <col min="5633" max="5634" width="13" style="1" customWidth="1"/>
    <col min="5635" max="5635" width="14" style="1" customWidth="1"/>
    <col min="5636" max="5636" width="10.33203125" style="1" bestFit="1" customWidth="1"/>
    <col min="5637" max="5886" width="9.109375" style="1"/>
    <col min="5887" max="5887" width="8.33203125" style="1" customWidth="1"/>
    <col min="5888" max="5888" width="11.44140625" style="1" customWidth="1"/>
    <col min="5889" max="5890" width="13" style="1" customWidth="1"/>
    <col min="5891" max="5891" width="14" style="1" customWidth="1"/>
    <col min="5892" max="5892" width="10.33203125" style="1" bestFit="1" customWidth="1"/>
    <col min="5893" max="6142" width="9.109375" style="1"/>
    <col min="6143" max="6143" width="8.33203125" style="1" customWidth="1"/>
    <col min="6144" max="6144" width="11.44140625" style="1" customWidth="1"/>
    <col min="6145" max="6146" width="13" style="1" customWidth="1"/>
    <col min="6147" max="6147" width="14" style="1" customWidth="1"/>
    <col min="6148" max="6148" width="10.33203125" style="1" bestFit="1" customWidth="1"/>
    <col min="6149" max="6398" width="9.109375" style="1"/>
    <col min="6399" max="6399" width="8.33203125" style="1" customWidth="1"/>
    <col min="6400" max="6400" width="11.44140625" style="1" customWidth="1"/>
    <col min="6401" max="6402" width="13" style="1" customWidth="1"/>
    <col min="6403" max="6403" width="14" style="1" customWidth="1"/>
    <col min="6404" max="6404" width="10.33203125" style="1" bestFit="1" customWidth="1"/>
    <col min="6405" max="6654" width="9.109375" style="1"/>
    <col min="6655" max="6655" width="8.33203125" style="1" customWidth="1"/>
    <col min="6656" max="6656" width="11.44140625" style="1" customWidth="1"/>
    <col min="6657" max="6658" width="13" style="1" customWidth="1"/>
    <col min="6659" max="6659" width="14" style="1" customWidth="1"/>
    <col min="6660" max="6660" width="10.33203125" style="1" bestFit="1" customWidth="1"/>
    <col min="6661" max="6910" width="9.109375" style="1"/>
    <col min="6911" max="6911" width="8.33203125" style="1" customWidth="1"/>
    <col min="6912" max="6912" width="11.44140625" style="1" customWidth="1"/>
    <col min="6913" max="6914" width="13" style="1" customWidth="1"/>
    <col min="6915" max="6915" width="14" style="1" customWidth="1"/>
    <col min="6916" max="6916" width="10.33203125" style="1" bestFit="1" customWidth="1"/>
    <col min="6917" max="7166" width="9.109375" style="1"/>
    <col min="7167" max="7167" width="8.33203125" style="1" customWidth="1"/>
    <col min="7168" max="7168" width="11.44140625" style="1" customWidth="1"/>
    <col min="7169" max="7170" width="13" style="1" customWidth="1"/>
    <col min="7171" max="7171" width="14" style="1" customWidth="1"/>
    <col min="7172" max="7172" width="10.33203125" style="1" bestFit="1" customWidth="1"/>
    <col min="7173" max="7422" width="9.109375" style="1"/>
    <col min="7423" max="7423" width="8.33203125" style="1" customWidth="1"/>
    <col min="7424" max="7424" width="11.44140625" style="1" customWidth="1"/>
    <col min="7425" max="7426" width="13" style="1" customWidth="1"/>
    <col min="7427" max="7427" width="14" style="1" customWidth="1"/>
    <col min="7428" max="7428" width="10.33203125" style="1" bestFit="1" customWidth="1"/>
    <col min="7429" max="7678" width="9.109375" style="1"/>
    <col min="7679" max="7679" width="8.33203125" style="1" customWidth="1"/>
    <col min="7680" max="7680" width="11.44140625" style="1" customWidth="1"/>
    <col min="7681" max="7682" width="13" style="1" customWidth="1"/>
    <col min="7683" max="7683" width="14" style="1" customWidth="1"/>
    <col min="7684" max="7684" width="10.33203125" style="1" bestFit="1" customWidth="1"/>
    <col min="7685" max="7934" width="9.109375" style="1"/>
    <col min="7935" max="7935" width="8.33203125" style="1" customWidth="1"/>
    <col min="7936" max="7936" width="11.44140625" style="1" customWidth="1"/>
    <col min="7937" max="7938" width="13" style="1" customWidth="1"/>
    <col min="7939" max="7939" width="14" style="1" customWidth="1"/>
    <col min="7940" max="7940" width="10.33203125" style="1" bestFit="1" customWidth="1"/>
    <col min="7941" max="8190" width="9.109375" style="1"/>
    <col min="8191" max="8191" width="8.33203125" style="1" customWidth="1"/>
    <col min="8192" max="8192" width="11.44140625" style="1" customWidth="1"/>
    <col min="8193" max="8194" width="13" style="1" customWidth="1"/>
    <col min="8195" max="8195" width="14" style="1" customWidth="1"/>
    <col min="8196" max="8196" width="10.33203125" style="1" bestFit="1" customWidth="1"/>
    <col min="8197" max="8446" width="9.109375" style="1"/>
    <col min="8447" max="8447" width="8.33203125" style="1" customWidth="1"/>
    <col min="8448" max="8448" width="11.44140625" style="1" customWidth="1"/>
    <col min="8449" max="8450" width="13" style="1" customWidth="1"/>
    <col min="8451" max="8451" width="14" style="1" customWidth="1"/>
    <col min="8452" max="8452" width="10.33203125" style="1" bestFit="1" customWidth="1"/>
    <col min="8453" max="8702" width="9.109375" style="1"/>
    <col min="8703" max="8703" width="8.33203125" style="1" customWidth="1"/>
    <col min="8704" max="8704" width="11.44140625" style="1" customWidth="1"/>
    <col min="8705" max="8706" width="13" style="1" customWidth="1"/>
    <col min="8707" max="8707" width="14" style="1" customWidth="1"/>
    <col min="8708" max="8708" width="10.33203125" style="1" bestFit="1" customWidth="1"/>
    <col min="8709" max="8958" width="9.109375" style="1"/>
    <col min="8959" max="8959" width="8.33203125" style="1" customWidth="1"/>
    <col min="8960" max="8960" width="11.44140625" style="1" customWidth="1"/>
    <col min="8961" max="8962" width="13" style="1" customWidth="1"/>
    <col min="8963" max="8963" width="14" style="1" customWidth="1"/>
    <col min="8964" max="8964" width="10.33203125" style="1" bestFit="1" customWidth="1"/>
    <col min="8965" max="9214" width="9.109375" style="1"/>
    <col min="9215" max="9215" width="8.33203125" style="1" customWidth="1"/>
    <col min="9216" max="9216" width="11.44140625" style="1" customWidth="1"/>
    <col min="9217" max="9218" width="13" style="1" customWidth="1"/>
    <col min="9219" max="9219" width="14" style="1" customWidth="1"/>
    <col min="9220" max="9220" width="10.33203125" style="1" bestFit="1" customWidth="1"/>
    <col min="9221" max="9470" width="9.109375" style="1"/>
    <col min="9471" max="9471" width="8.33203125" style="1" customWidth="1"/>
    <col min="9472" max="9472" width="11.44140625" style="1" customWidth="1"/>
    <col min="9473" max="9474" width="13" style="1" customWidth="1"/>
    <col min="9475" max="9475" width="14" style="1" customWidth="1"/>
    <col min="9476" max="9476" width="10.33203125" style="1" bestFit="1" customWidth="1"/>
    <col min="9477" max="9726" width="9.109375" style="1"/>
    <col min="9727" max="9727" width="8.33203125" style="1" customWidth="1"/>
    <col min="9728" max="9728" width="11.44140625" style="1" customWidth="1"/>
    <col min="9729" max="9730" width="13" style="1" customWidth="1"/>
    <col min="9731" max="9731" width="14" style="1" customWidth="1"/>
    <col min="9732" max="9732" width="10.33203125" style="1" bestFit="1" customWidth="1"/>
    <col min="9733" max="9982" width="9.109375" style="1"/>
    <col min="9983" max="9983" width="8.33203125" style="1" customWidth="1"/>
    <col min="9984" max="9984" width="11.44140625" style="1" customWidth="1"/>
    <col min="9985" max="9986" width="13" style="1" customWidth="1"/>
    <col min="9987" max="9987" width="14" style="1" customWidth="1"/>
    <col min="9988" max="9988" width="10.33203125" style="1" bestFit="1" customWidth="1"/>
    <col min="9989" max="10238" width="9.109375" style="1"/>
    <col min="10239" max="10239" width="8.33203125" style="1" customWidth="1"/>
    <col min="10240" max="10240" width="11.44140625" style="1" customWidth="1"/>
    <col min="10241" max="10242" width="13" style="1" customWidth="1"/>
    <col min="10243" max="10243" width="14" style="1" customWidth="1"/>
    <col min="10244" max="10244" width="10.33203125" style="1" bestFit="1" customWidth="1"/>
    <col min="10245" max="10494" width="9.109375" style="1"/>
    <col min="10495" max="10495" width="8.33203125" style="1" customWidth="1"/>
    <col min="10496" max="10496" width="11.44140625" style="1" customWidth="1"/>
    <col min="10497" max="10498" width="13" style="1" customWidth="1"/>
    <col min="10499" max="10499" width="14" style="1" customWidth="1"/>
    <col min="10500" max="10500" width="10.33203125" style="1" bestFit="1" customWidth="1"/>
    <col min="10501" max="10750" width="9.109375" style="1"/>
    <col min="10751" max="10751" width="8.33203125" style="1" customWidth="1"/>
    <col min="10752" max="10752" width="11.44140625" style="1" customWidth="1"/>
    <col min="10753" max="10754" width="13" style="1" customWidth="1"/>
    <col min="10755" max="10755" width="14" style="1" customWidth="1"/>
    <col min="10756" max="10756" width="10.33203125" style="1" bestFit="1" customWidth="1"/>
    <col min="10757" max="11006" width="9.109375" style="1"/>
    <col min="11007" max="11007" width="8.33203125" style="1" customWidth="1"/>
    <col min="11008" max="11008" width="11.44140625" style="1" customWidth="1"/>
    <col min="11009" max="11010" width="13" style="1" customWidth="1"/>
    <col min="11011" max="11011" width="14" style="1" customWidth="1"/>
    <col min="11012" max="11012" width="10.33203125" style="1" bestFit="1" customWidth="1"/>
    <col min="11013" max="11262" width="9.109375" style="1"/>
    <col min="11263" max="11263" width="8.33203125" style="1" customWidth="1"/>
    <col min="11264" max="11264" width="11.44140625" style="1" customWidth="1"/>
    <col min="11265" max="11266" width="13" style="1" customWidth="1"/>
    <col min="11267" max="11267" width="14" style="1" customWidth="1"/>
    <col min="11268" max="11268" width="10.33203125" style="1" bestFit="1" customWidth="1"/>
    <col min="11269" max="11518" width="9.109375" style="1"/>
    <col min="11519" max="11519" width="8.33203125" style="1" customWidth="1"/>
    <col min="11520" max="11520" width="11.44140625" style="1" customWidth="1"/>
    <col min="11521" max="11522" width="13" style="1" customWidth="1"/>
    <col min="11523" max="11523" width="14" style="1" customWidth="1"/>
    <col min="11524" max="11524" width="10.33203125" style="1" bestFit="1" customWidth="1"/>
    <col min="11525" max="11774" width="9.109375" style="1"/>
    <col min="11775" max="11775" width="8.33203125" style="1" customWidth="1"/>
    <col min="11776" max="11776" width="11.44140625" style="1" customWidth="1"/>
    <col min="11777" max="11778" width="13" style="1" customWidth="1"/>
    <col min="11779" max="11779" width="14" style="1" customWidth="1"/>
    <col min="11780" max="11780" width="10.33203125" style="1" bestFit="1" customWidth="1"/>
    <col min="11781" max="12030" width="9.109375" style="1"/>
    <col min="12031" max="12031" width="8.33203125" style="1" customWidth="1"/>
    <col min="12032" max="12032" width="11.44140625" style="1" customWidth="1"/>
    <col min="12033" max="12034" width="13" style="1" customWidth="1"/>
    <col min="12035" max="12035" width="14" style="1" customWidth="1"/>
    <col min="12036" max="12036" width="10.33203125" style="1" bestFit="1" customWidth="1"/>
    <col min="12037" max="12286" width="9.109375" style="1"/>
    <col min="12287" max="12287" width="8.33203125" style="1" customWidth="1"/>
    <col min="12288" max="12288" width="11.44140625" style="1" customWidth="1"/>
    <col min="12289" max="12290" width="13" style="1" customWidth="1"/>
    <col min="12291" max="12291" width="14" style="1" customWidth="1"/>
    <col min="12292" max="12292" width="10.33203125" style="1" bestFit="1" customWidth="1"/>
    <col min="12293" max="12542" width="9.109375" style="1"/>
    <col min="12543" max="12543" width="8.33203125" style="1" customWidth="1"/>
    <col min="12544" max="12544" width="11.44140625" style="1" customWidth="1"/>
    <col min="12545" max="12546" width="13" style="1" customWidth="1"/>
    <col min="12547" max="12547" width="14" style="1" customWidth="1"/>
    <col min="12548" max="12548" width="10.33203125" style="1" bestFit="1" customWidth="1"/>
    <col min="12549" max="12798" width="9.109375" style="1"/>
    <col min="12799" max="12799" width="8.33203125" style="1" customWidth="1"/>
    <col min="12800" max="12800" width="11.44140625" style="1" customWidth="1"/>
    <col min="12801" max="12802" width="13" style="1" customWidth="1"/>
    <col min="12803" max="12803" width="14" style="1" customWidth="1"/>
    <col min="12804" max="12804" width="10.33203125" style="1" bestFit="1" customWidth="1"/>
    <col min="12805" max="13054" width="9.109375" style="1"/>
    <col min="13055" max="13055" width="8.33203125" style="1" customWidth="1"/>
    <col min="13056" max="13056" width="11.44140625" style="1" customWidth="1"/>
    <col min="13057" max="13058" width="13" style="1" customWidth="1"/>
    <col min="13059" max="13059" width="14" style="1" customWidth="1"/>
    <col min="13060" max="13060" width="10.33203125" style="1" bestFit="1" customWidth="1"/>
    <col min="13061" max="13310" width="9.109375" style="1"/>
    <col min="13311" max="13311" width="8.33203125" style="1" customWidth="1"/>
    <col min="13312" max="13312" width="11.44140625" style="1" customWidth="1"/>
    <col min="13313" max="13314" width="13" style="1" customWidth="1"/>
    <col min="13315" max="13315" width="14" style="1" customWidth="1"/>
    <col min="13316" max="13316" width="10.33203125" style="1" bestFit="1" customWidth="1"/>
    <col min="13317" max="13566" width="9.109375" style="1"/>
    <col min="13567" max="13567" width="8.33203125" style="1" customWidth="1"/>
    <col min="13568" max="13568" width="11.44140625" style="1" customWidth="1"/>
    <col min="13569" max="13570" width="13" style="1" customWidth="1"/>
    <col min="13571" max="13571" width="14" style="1" customWidth="1"/>
    <col min="13572" max="13572" width="10.33203125" style="1" bestFit="1" customWidth="1"/>
    <col min="13573" max="13822" width="9.109375" style="1"/>
    <col min="13823" max="13823" width="8.33203125" style="1" customWidth="1"/>
    <col min="13824" max="13824" width="11.44140625" style="1" customWidth="1"/>
    <col min="13825" max="13826" width="13" style="1" customWidth="1"/>
    <col min="13827" max="13827" width="14" style="1" customWidth="1"/>
    <col min="13828" max="13828" width="10.33203125" style="1" bestFit="1" customWidth="1"/>
    <col min="13829" max="14078" width="9.109375" style="1"/>
    <col min="14079" max="14079" width="8.33203125" style="1" customWidth="1"/>
    <col min="14080" max="14080" width="11.44140625" style="1" customWidth="1"/>
    <col min="14081" max="14082" width="13" style="1" customWidth="1"/>
    <col min="14083" max="14083" width="14" style="1" customWidth="1"/>
    <col min="14084" max="14084" width="10.33203125" style="1" bestFit="1" customWidth="1"/>
    <col min="14085" max="14334" width="9.109375" style="1"/>
    <col min="14335" max="14335" width="8.33203125" style="1" customWidth="1"/>
    <col min="14336" max="14336" width="11.44140625" style="1" customWidth="1"/>
    <col min="14337" max="14338" width="13" style="1" customWidth="1"/>
    <col min="14339" max="14339" width="14" style="1" customWidth="1"/>
    <col min="14340" max="14340" width="10.33203125" style="1" bestFit="1" customWidth="1"/>
    <col min="14341" max="14590" width="9.109375" style="1"/>
    <col min="14591" max="14591" width="8.33203125" style="1" customWidth="1"/>
    <col min="14592" max="14592" width="11.44140625" style="1" customWidth="1"/>
    <col min="14593" max="14594" width="13" style="1" customWidth="1"/>
    <col min="14595" max="14595" width="14" style="1" customWidth="1"/>
    <col min="14596" max="14596" width="10.33203125" style="1" bestFit="1" customWidth="1"/>
    <col min="14597" max="14846" width="9.109375" style="1"/>
    <col min="14847" max="14847" width="8.33203125" style="1" customWidth="1"/>
    <col min="14848" max="14848" width="11.44140625" style="1" customWidth="1"/>
    <col min="14849" max="14850" width="13" style="1" customWidth="1"/>
    <col min="14851" max="14851" width="14" style="1" customWidth="1"/>
    <col min="14852" max="14852" width="10.33203125" style="1" bestFit="1" customWidth="1"/>
    <col min="14853" max="15102" width="9.109375" style="1"/>
    <col min="15103" max="15103" width="8.33203125" style="1" customWidth="1"/>
    <col min="15104" max="15104" width="11.44140625" style="1" customWidth="1"/>
    <col min="15105" max="15106" width="13" style="1" customWidth="1"/>
    <col min="15107" max="15107" width="14" style="1" customWidth="1"/>
    <col min="15108" max="15108" width="10.33203125" style="1" bestFit="1" customWidth="1"/>
    <col min="15109" max="15358" width="9.109375" style="1"/>
    <col min="15359" max="15359" width="8.33203125" style="1" customWidth="1"/>
    <col min="15360" max="15360" width="11.44140625" style="1" customWidth="1"/>
    <col min="15361" max="15362" width="13" style="1" customWidth="1"/>
    <col min="15363" max="15363" width="14" style="1" customWidth="1"/>
    <col min="15364" max="15364" width="10.33203125" style="1" bestFit="1" customWidth="1"/>
    <col min="15365" max="15614" width="9.109375" style="1"/>
    <col min="15615" max="15615" width="8.33203125" style="1" customWidth="1"/>
    <col min="15616" max="15616" width="11.44140625" style="1" customWidth="1"/>
    <col min="15617" max="15618" width="13" style="1" customWidth="1"/>
    <col min="15619" max="15619" width="14" style="1" customWidth="1"/>
    <col min="15620" max="15620" width="10.33203125" style="1" bestFit="1" customWidth="1"/>
    <col min="15621" max="15870" width="9.109375" style="1"/>
    <col min="15871" max="15871" width="8.33203125" style="1" customWidth="1"/>
    <col min="15872" max="15872" width="11.44140625" style="1" customWidth="1"/>
    <col min="15873" max="15874" width="13" style="1" customWidth="1"/>
    <col min="15875" max="15875" width="14" style="1" customWidth="1"/>
    <col min="15876" max="15876" width="10.33203125" style="1" bestFit="1" customWidth="1"/>
    <col min="15877" max="16126" width="9.109375" style="1"/>
    <col min="16127" max="16127" width="8.33203125" style="1" customWidth="1"/>
    <col min="16128" max="16128" width="11.44140625" style="1" customWidth="1"/>
    <col min="16129" max="16130" width="13" style="1" customWidth="1"/>
    <col min="16131" max="16131" width="14" style="1" customWidth="1"/>
    <col min="16132" max="16132" width="10.33203125" style="1" bestFit="1" customWidth="1"/>
    <col min="16133" max="16383" width="9.109375" style="1"/>
    <col min="16384" max="16384" width="9.109375" style="1" customWidth="1"/>
  </cols>
  <sheetData>
    <row r="2" spans="1:5" x14ac:dyDescent="0.25">
      <c r="A2" s="32" t="s">
        <v>16</v>
      </c>
      <c r="B2" s="32"/>
      <c r="C2" s="32"/>
      <c r="D2" s="32"/>
      <c r="E2" s="32"/>
    </row>
    <row r="3" spans="1:5" x14ac:dyDescent="0.25">
      <c r="A3" s="27" t="s">
        <v>0</v>
      </c>
      <c r="B3" s="27" t="s">
        <v>1</v>
      </c>
      <c r="C3" s="29" t="s">
        <v>2</v>
      </c>
      <c r="D3" s="27" t="s">
        <v>3</v>
      </c>
      <c r="E3" s="33" t="s">
        <v>4</v>
      </c>
    </row>
    <row r="4" spans="1:5" x14ac:dyDescent="0.25">
      <c r="A4" s="27"/>
      <c r="B4" s="27"/>
      <c r="C4" s="29"/>
      <c r="D4" s="27"/>
      <c r="E4" s="33"/>
    </row>
    <row r="5" spans="1:5" x14ac:dyDescent="0.25">
      <c r="A5" s="3" t="s">
        <v>9</v>
      </c>
      <c r="B5" s="14">
        <v>45505</v>
      </c>
      <c r="C5" s="5">
        <v>27270</v>
      </c>
      <c r="D5" s="5">
        <v>26912</v>
      </c>
      <c r="E5" s="6">
        <f>SUM(C5:D5)</f>
        <v>54182</v>
      </c>
    </row>
    <row r="6" spans="1:5" x14ac:dyDescent="0.25">
      <c r="A6" s="3" t="s">
        <v>10</v>
      </c>
      <c r="B6" s="14">
        <v>45506</v>
      </c>
      <c r="C6" s="5">
        <v>26883</v>
      </c>
      <c r="D6" s="5">
        <v>26254</v>
      </c>
      <c r="E6" s="6">
        <f t="shared" ref="E6:E25" si="0">SUM(C6:D6)</f>
        <v>53137</v>
      </c>
    </row>
    <row r="7" spans="1:5" x14ac:dyDescent="0.25">
      <c r="A7" s="3" t="s">
        <v>7</v>
      </c>
      <c r="B7" s="14">
        <v>45509</v>
      </c>
      <c r="C7" s="5">
        <v>30656</v>
      </c>
      <c r="D7" s="5">
        <v>30016</v>
      </c>
      <c r="E7" s="6">
        <f t="shared" si="0"/>
        <v>60672</v>
      </c>
    </row>
    <row r="8" spans="1:5" x14ac:dyDescent="0.25">
      <c r="A8" s="3" t="s">
        <v>14</v>
      </c>
      <c r="B8" s="14">
        <v>45510</v>
      </c>
      <c r="C8" s="5">
        <v>25442</v>
      </c>
      <c r="D8" s="5">
        <v>24514</v>
      </c>
      <c r="E8" s="6">
        <f t="shared" si="0"/>
        <v>49956</v>
      </c>
    </row>
    <row r="9" spans="1:5" x14ac:dyDescent="0.25">
      <c r="A9" s="3" t="s">
        <v>8</v>
      </c>
      <c r="B9" s="14">
        <v>45511</v>
      </c>
      <c r="C9" s="5">
        <v>22474</v>
      </c>
      <c r="D9" s="5">
        <v>22102</v>
      </c>
      <c r="E9" s="6">
        <f t="shared" si="0"/>
        <v>44576</v>
      </c>
    </row>
    <row r="10" spans="1:5" x14ac:dyDescent="0.25">
      <c r="A10" s="3" t="s">
        <v>9</v>
      </c>
      <c r="B10" s="14">
        <v>45512</v>
      </c>
      <c r="C10" s="5">
        <v>22129</v>
      </c>
      <c r="D10" s="5">
        <v>21835</v>
      </c>
      <c r="E10" s="6">
        <f t="shared" si="0"/>
        <v>43964</v>
      </c>
    </row>
    <row r="11" spans="1:5" x14ac:dyDescent="0.25">
      <c r="A11" s="3" t="s">
        <v>10</v>
      </c>
      <c r="B11" s="14">
        <v>45513</v>
      </c>
      <c r="C11" s="5">
        <v>21984</v>
      </c>
      <c r="D11" s="5">
        <v>21756</v>
      </c>
      <c r="E11" s="6">
        <f t="shared" si="0"/>
        <v>43740</v>
      </c>
    </row>
    <row r="12" spans="1:5" x14ac:dyDescent="0.25">
      <c r="A12" s="3" t="s">
        <v>7</v>
      </c>
      <c r="B12" s="14">
        <v>45516</v>
      </c>
      <c r="C12" s="5">
        <v>28382</v>
      </c>
      <c r="D12" s="5">
        <v>27957</v>
      </c>
      <c r="E12" s="6">
        <f t="shared" si="0"/>
        <v>56339</v>
      </c>
    </row>
    <row r="13" spans="1:5" x14ac:dyDescent="0.25">
      <c r="A13" s="3" t="s">
        <v>14</v>
      </c>
      <c r="B13" s="14">
        <v>45517</v>
      </c>
      <c r="C13" s="5">
        <v>28540</v>
      </c>
      <c r="D13" s="5">
        <v>27686</v>
      </c>
      <c r="E13" s="6">
        <f t="shared" si="0"/>
        <v>56226</v>
      </c>
    </row>
    <row r="14" spans="1:5" x14ac:dyDescent="0.25">
      <c r="A14" s="3" t="s">
        <v>8</v>
      </c>
      <c r="B14" s="14">
        <v>45518</v>
      </c>
      <c r="C14" s="5">
        <v>28540</v>
      </c>
      <c r="D14" s="5">
        <v>28299</v>
      </c>
      <c r="E14" s="6">
        <f t="shared" si="0"/>
        <v>56839</v>
      </c>
    </row>
    <row r="15" spans="1:5" x14ac:dyDescent="0.25">
      <c r="A15" s="3" t="s">
        <v>9</v>
      </c>
      <c r="B15" s="14">
        <v>45519</v>
      </c>
      <c r="C15" s="5">
        <v>27934</v>
      </c>
      <c r="D15" s="5">
        <v>27230</v>
      </c>
      <c r="E15" s="6">
        <f t="shared" si="0"/>
        <v>55164</v>
      </c>
    </row>
    <row r="16" spans="1:5" x14ac:dyDescent="0.25">
      <c r="A16" s="3" t="s">
        <v>10</v>
      </c>
      <c r="B16" s="14">
        <v>45520</v>
      </c>
      <c r="C16" s="5">
        <v>27832</v>
      </c>
      <c r="D16" s="5">
        <v>27601</v>
      </c>
      <c r="E16" s="6">
        <f t="shared" si="0"/>
        <v>55433</v>
      </c>
    </row>
    <row r="17" spans="1:5" x14ac:dyDescent="0.25">
      <c r="A17" s="3" t="s">
        <v>7</v>
      </c>
      <c r="B17" s="14">
        <v>45523</v>
      </c>
      <c r="C17" s="5">
        <v>26451</v>
      </c>
      <c r="D17" s="5">
        <v>26112</v>
      </c>
      <c r="E17" s="6">
        <f t="shared" si="0"/>
        <v>52563</v>
      </c>
    </row>
    <row r="18" spans="1:5" x14ac:dyDescent="0.25">
      <c r="A18" s="3" t="s">
        <v>14</v>
      </c>
      <c r="B18" s="14">
        <v>45524</v>
      </c>
      <c r="C18" s="5">
        <v>26932</v>
      </c>
      <c r="D18" s="5">
        <v>26510</v>
      </c>
      <c r="E18" s="6">
        <f t="shared" si="0"/>
        <v>53442</v>
      </c>
    </row>
    <row r="19" spans="1:5" x14ac:dyDescent="0.25">
      <c r="A19" s="3" t="s">
        <v>8</v>
      </c>
      <c r="B19" s="14">
        <v>45525</v>
      </c>
      <c r="C19" s="5">
        <v>27024</v>
      </c>
      <c r="D19" s="5">
        <v>26618</v>
      </c>
      <c r="E19" s="6">
        <f t="shared" si="0"/>
        <v>53642</v>
      </c>
    </row>
    <row r="20" spans="1:5" x14ac:dyDescent="0.25">
      <c r="A20" s="3" t="s">
        <v>9</v>
      </c>
      <c r="B20" s="14">
        <v>45526</v>
      </c>
      <c r="C20" s="5">
        <v>27108</v>
      </c>
      <c r="D20" s="5">
        <v>26753</v>
      </c>
      <c r="E20" s="6">
        <f t="shared" si="0"/>
        <v>53861</v>
      </c>
    </row>
    <row r="21" spans="1:5" x14ac:dyDescent="0.25">
      <c r="A21" s="3" t="s">
        <v>10</v>
      </c>
      <c r="B21" s="14">
        <v>45527</v>
      </c>
      <c r="C21" s="5">
        <v>27788</v>
      </c>
      <c r="D21" s="5">
        <v>27788</v>
      </c>
      <c r="E21" s="6">
        <f t="shared" si="0"/>
        <v>55576</v>
      </c>
    </row>
    <row r="22" spans="1:5" x14ac:dyDescent="0.25">
      <c r="A22" s="3" t="s">
        <v>7</v>
      </c>
      <c r="B22" s="14">
        <v>45530</v>
      </c>
      <c r="C22" s="5">
        <v>25204</v>
      </c>
      <c r="D22" s="5">
        <v>24295</v>
      </c>
      <c r="E22" s="6">
        <f t="shared" si="0"/>
        <v>49499</v>
      </c>
    </row>
    <row r="23" spans="1:5" x14ac:dyDescent="0.25">
      <c r="A23" s="3" t="s">
        <v>14</v>
      </c>
      <c r="B23" s="14">
        <v>45531</v>
      </c>
      <c r="C23" s="5">
        <v>26074</v>
      </c>
      <c r="D23" s="5">
        <v>25143</v>
      </c>
      <c r="E23" s="6">
        <f t="shared" si="0"/>
        <v>51217</v>
      </c>
    </row>
    <row r="24" spans="1:5" x14ac:dyDescent="0.25">
      <c r="A24" s="3" t="s">
        <v>8</v>
      </c>
      <c r="B24" s="14">
        <v>45532</v>
      </c>
      <c r="C24" s="5">
        <v>25421</v>
      </c>
      <c r="D24" s="5">
        <v>24700</v>
      </c>
      <c r="E24" s="6">
        <f t="shared" si="0"/>
        <v>50121</v>
      </c>
    </row>
    <row r="25" spans="1:5" x14ac:dyDescent="0.25">
      <c r="A25" s="3" t="s">
        <v>9</v>
      </c>
      <c r="B25" s="14">
        <v>45533</v>
      </c>
      <c r="C25" s="5">
        <v>25091</v>
      </c>
      <c r="D25" s="5">
        <v>25040</v>
      </c>
      <c r="E25" s="6">
        <f t="shared" si="0"/>
        <v>50131</v>
      </c>
    </row>
    <row r="26" spans="1:5" x14ac:dyDescent="0.25">
      <c r="A26" s="3" t="s">
        <v>10</v>
      </c>
      <c r="B26" s="14">
        <v>45534</v>
      </c>
      <c r="C26" s="5">
        <v>25796</v>
      </c>
      <c r="D26" s="5">
        <v>25487</v>
      </c>
      <c r="E26" s="6">
        <f>SUM(C26:D26)</f>
        <v>51283</v>
      </c>
    </row>
    <row r="27" spans="1:5" x14ac:dyDescent="0.25">
      <c r="A27" s="34" t="s">
        <v>5</v>
      </c>
      <c r="B27" s="34"/>
      <c r="C27" s="15">
        <f>SUM(C5:C26)</f>
        <v>580955</v>
      </c>
      <c r="D27" s="15">
        <f>SUM(D5:D26)</f>
        <v>570608</v>
      </c>
      <c r="E27" s="15">
        <f>SUM(E5:E26)</f>
        <v>1151563</v>
      </c>
    </row>
    <row r="28" spans="1:5" x14ac:dyDescent="0.25">
      <c r="C28" s="9"/>
      <c r="D28" s="9"/>
      <c r="E28" s="9"/>
    </row>
    <row r="29" spans="1:5" x14ac:dyDescent="0.25">
      <c r="A29" s="35" t="s">
        <v>17</v>
      </c>
      <c r="B29" s="35"/>
      <c r="C29" s="35"/>
      <c r="D29" s="35"/>
      <c r="E29" s="16">
        <f>E27</f>
        <v>1151563</v>
      </c>
    </row>
    <row r="30" spans="1:5" x14ac:dyDescent="0.25">
      <c r="A30" s="35" t="s">
        <v>11</v>
      </c>
      <c r="B30" s="35"/>
      <c r="C30" s="35"/>
      <c r="D30" s="35"/>
      <c r="E30" s="16">
        <f>AVERAGE(E5:E26)</f>
        <v>52343.772727272728</v>
      </c>
    </row>
    <row r="31" spans="1:5" x14ac:dyDescent="0.25">
      <c r="A31" s="36"/>
      <c r="B31" s="36"/>
      <c r="C31" s="36"/>
      <c r="D31" s="36"/>
      <c r="E31" s="37"/>
    </row>
    <row r="32" spans="1:5" x14ac:dyDescent="0.25">
      <c r="A32" s="36"/>
      <c r="B32" s="36"/>
      <c r="C32" s="36"/>
      <c r="D32" s="36"/>
      <c r="E32" s="37"/>
    </row>
    <row r="34" spans="1:5" x14ac:dyDescent="0.25">
      <c r="A34" s="32" t="s">
        <v>18</v>
      </c>
      <c r="B34" s="32"/>
      <c r="C34" s="32"/>
      <c r="D34" s="32"/>
      <c r="E34" s="32"/>
    </row>
    <row r="35" spans="1:5" x14ac:dyDescent="0.25">
      <c r="A35" s="27" t="s">
        <v>0</v>
      </c>
      <c r="B35" s="27" t="s">
        <v>1</v>
      </c>
      <c r="C35" s="29" t="s">
        <v>2</v>
      </c>
      <c r="D35" s="29" t="s">
        <v>3</v>
      </c>
      <c r="E35" s="33" t="s">
        <v>4</v>
      </c>
    </row>
    <row r="36" spans="1:5" x14ac:dyDescent="0.25">
      <c r="A36" s="27"/>
      <c r="B36" s="27"/>
      <c r="C36" s="29"/>
      <c r="D36" s="29"/>
      <c r="E36" s="33"/>
    </row>
    <row r="37" spans="1:5" x14ac:dyDescent="0.25">
      <c r="A37" s="3" t="str">
        <f t="shared" ref="A37:A38" si="1">CHOOSE(WEEKDAY(B37),"SUN","MON","TUES","WED","THU","FRI","SAT")</f>
        <v>SAT</v>
      </c>
      <c r="B37" s="14">
        <v>45507</v>
      </c>
      <c r="C37" s="5">
        <v>25227</v>
      </c>
      <c r="D37" s="5">
        <v>24370</v>
      </c>
      <c r="E37" s="6">
        <f t="shared" ref="E37:E42" si="2">SUM(C37:D37)</f>
        <v>49597</v>
      </c>
    </row>
    <row r="38" spans="1:5" x14ac:dyDescent="0.25">
      <c r="A38" s="3" t="str">
        <f t="shared" si="1"/>
        <v>SUN</v>
      </c>
      <c r="B38" s="14">
        <v>45508</v>
      </c>
      <c r="C38" s="5">
        <v>20282</v>
      </c>
      <c r="D38" s="5">
        <v>19541</v>
      </c>
      <c r="E38" s="6">
        <f t="shared" si="2"/>
        <v>39823</v>
      </c>
    </row>
    <row r="39" spans="1:5" x14ac:dyDescent="0.25">
      <c r="A39" s="3" t="s">
        <v>20</v>
      </c>
      <c r="B39" s="14">
        <v>45514</v>
      </c>
      <c r="C39" s="5">
        <v>32160</v>
      </c>
      <c r="D39" s="5">
        <v>31302</v>
      </c>
      <c r="E39" s="6">
        <f t="shared" si="2"/>
        <v>63462</v>
      </c>
    </row>
    <row r="40" spans="1:5" x14ac:dyDescent="0.25">
      <c r="A40" s="3" t="s">
        <v>21</v>
      </c>
      <c r="B40" s="14">
        <v>45515</v>
      </c>
      <c r="C40" s="5">
        <v>26651</v>
      </c>
      <c r="D40" s="5">
        <v>25027</v>
      </c>
      <c r="E40" s="6">
        <f t="shared" si="2"/>
        <v>51678</v>
      </c>
    </row>
    <row r="41" spans="1:5" x14ac:dyDescent="0.25">
      <c r="A41" s="3" t="s">
        <v>20</v>
      </c>
      <c r="B41" s="14">
        <v>45521</v>
      </c>
      <c r="C41" s="5">
        <v>24881</v>
      </c>
      <c r="D41" s="5">
        <v>27832</v>
      </c>
      <c r="E41" s="6">
        <f t="shared" si="2"/>
        <v>52713</v>
      </c>
    </row>
    <row r="42" spans="1:5" x14ac:dyDescent="0.25">
      <c r="A42" s="3" t="s">
        <v>21</v>
      </c>
      <c r="B42" s="14">
        <v>45522</v>
      </c>
      <c r="C42" s="5">
        <v>19096</v>
      </c>
      <c r="D42" s="5">
        <v>17946</v>
      </c>
      <c r="E42" s="6">
        <f t="shared" si="2"/>
        <v>37042</v>
      </c>
    </row>
    <row r="43" spans="1:5" x14ac:dyDescent="0.25">
      <c r="A43" s="3" t="s">
        <v>20</v>
      </c>
      <c r="B43" s="14">
        <v>45528</v>
      </c>
      <c r="C43" s="5">
        <v>26415</v>
      </c>
      <c r="D43" s="5">
        <v>25381</v>
      </c>
      <c r="E43" s="6">
        <f>SUM(C43:D43)</f>
        <v>51796</v>
      </c>
    </row>
    <row r="44" spans="1:5" x14ac:dyDescent="0.25">
      <c r="A44" s="3" t="s">
        <v>21</v>
      </c>
      <c r="B44" s="14">
        <v>45529</v>
      </c>
      <c r="C44" s="5">
        <v>23057</v>
      </c>
      <c r="D44" s="5">
        <v>21850</v>
      </c>
      <c r="E44" s="6">
        <f>SUM(C44:D44)</f>
        <v>44907</v>
      </c>
    </row>
    <row r="45" spans="1:5" x14ac:dyDescent="0.25">
      <c r="A45" s="3" t="s">
        <v>20</v>
      </c>
      <c r="B45" s="14">
        <v>45535</v>
      </c>
      <c r="C45" s="5">
        <v>26515</v>
      </c>
      <c r="D45" s="5">
        <v>25822</v>
      </c>
      <c r="E45" s="6">
        <f>SUM(C45:D45)</f>
        <v>52337</v>
      </c>
    </row>
    <row r="46" spans="1:5" x14ac:dyDescent="0.25">
      <c r="A46" s="34" t="s">
        <v>5</v>
      </c>
      <c r="B46" s="34"/>
      <c r="C46" s="15">
        <f>SUM(C37:C44)</f>
        <v>197769</v>
      </c>
      <c r="D46" s="15">
        <f>SUM(D37:D44)</f>
        <v>193249</v>
      </c>
      <c r="E46" s="15">
        <f>SUM(E37:E45)</f>
        <v>443355</v>
      </c>
    </row>
    <row r="47" spans="1:5" x14ac:dyDescent="0.25">
      <c r="C47" s="9"/>
      <c r="D47" s="9"/>
      <c r="E47" s="9"/>
    </row>
    <row r="48" spans="1:5" x14ac:dyDescent="0.25">
      <c r="A48" s="35" t="s">
        <v>19</v>
      </c>
      <c r="B48" s="35"/>
      <c r="C48" s="35"/>
      <c r="D48" s="35"/>
      <c r="E48" s="17">
        <f>E46</f>
        <v>443355</v>
      </c>
    </row>
    <row r="49" spans="1:5" x14ac:dyDescent="0.25">
      <c r="A49" s="18"/>
      <c r="B49" s="18"/>
      <c r="C49" s="18"/>
      <c r="D49" s="18"/>
      <c r="E49" s="18"/>
    </row>
    <row r="50" spans="1:5" x14ac:dyDescent="0.25">
      <c r="A50" s="35" t="s">
        <v>12</v>
      </c>
      <c r="B50" s="35"/>
      <c r="C50" s="35"/>
      <c r="D50" s="35"/>
      <c r="E50" s="17">
        <f xml:space="preserve"> AVERAGE(E37,E39,E41,E43,E45)</f>
        <v>53981</v>
      </c>
    </row>
    <row r="51" spans="1:5" x14ac:dyDescent="0.25">
      <c r="A51" s="35" t="s">
        <v>13</v>
      </c>
      <c r="B51" s="35"/>
      <c r="C51" s="35"/>
      <c r="D51" s="35"/>
      <c r="E51" s="17">
        <f xml:space="preserve"> AVERAGE(E38,E40,E42, E44)</f>
        <v>43362.5</v>
      </c>
    </row>
  </sheetData>
  <mergeCells count="19">
    <mergeCell ref="A46:B46"/>
    <mergeCell ref="A48:D48"/>
    <mergeCell ref="A50:D50"/>
    <mergeCell ref="A51:D51"/>
    <mergeCell ref="A27:B27"/>
    <mergeCell ref="A29:D29"/>
    <mergeCell ref="A30:D30"/>
    <mergeCell ref="A34:E34"/>
    <mergeCell ref="A35:A36"/>
    <mergeCell ref="B35:B36"/>
    <mergeCell ref="C35:C36"/>
    <mergeCell ref="D35:D36"/>
    <mergeCell ref="E35:E36"/>
    <mergeCell ref="A2:E2"/>
    <mergeCell ref="A3:A4"/>
    <mergeCell ref="B3:B4"/>
    <mergeCell ref="C3:C4"/>
    <mergeCell ref="D3:D4"/>
    <mergeCell ref="E3:E4"/>
  </mergeCells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10" ma:contentTypeDescription="Create a new document." ma:contentTypeScope="" ma:versionID="d5e8cfcf6eb2dd5d2db3c0c620d248eb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d03289d0b41cd5157412eb94182a3401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B8819DB-ADE8-4325-800B-29939AD018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0A1E22-134F-4E08-9A58-0CB853B77E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C297B-CBF7-47FD-9696-AD60CAC7A92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 - Weekend</vt:lpstr>
    </vt:vector>
  </TitlesOfParts>
  <Company>NYCDOT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Olsson, JoAnn</dc:creator>
  <cp:lastModifiedBy>Lucy Santana</cp:lastModifiedBy>
  <dcterms:created xsi:type="dcterms:W3CDTF">2023-07-05T16:53:13Z</dcterms:created>
  <dcterms:modified xsi:type="dcterms:W3CDTF">2026-04-09T23:28:01Z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