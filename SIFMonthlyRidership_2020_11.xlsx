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F9603F5B-DB94-49C5-A71D-58200F2288DA}" xr6:coauthVersionLast="47" xr6:coauthVersionMax="47" xr10:uidLastSave="{CF792FDF-39D2-4067-9953-E3EE949EAF10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1" l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4" i="2"/>
  <c r="A43" i="2"/>
  <c r="A42" i="2"/>
  <c r="A41" i="2"/>
  <c r="A40" i="2"/>
  <c r="A39" i="2"/>
  <c r="A38" i="2"/>
  <c r="A37" i="2"/>
  <c r="A36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D36" i="1" l="1"/>
  <c r="C36" i="1"/>
  <c r="E3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6" i="1"/>
  <c r="D45" i="2"/>
  <c r="C45" i="2"/>
  <c r="E37" i="2"/>
  <c r="E38" i="2"/>
  <c r="E39" i="2"/>
  <c r="E40" i="2"/>
  <c r="E41" i="2"/>
  <c r="E42" i="2"/>
  <c r="E43" i="2"/>
  <c r="E44" i="2"/>
  <c r="E36" i="2"/>
  <c r="D25" i="2"/>
  <c r="C2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4" i="2"/>
  <c r="E36" i="1" l="1"/>
  <c r="E38" i="1" s="1"/>
  <c r="E28" i="2"/>
  <c r="E48" i="2"/>
  <c r="E49" i="2"/>
  <c r="E45" i="2"/>
  <c r="E47" i="2" s="1"/>
  <c r="E25" i="2"/>
  <c r="E27" i="2" s="1"/>
</calcChain>
</file>

<file path=xl/sharedStrings.xml><?xml version="1.0" encoding="utf-8"?>
<sst xmlns="http://schemas.openxmlformats.org/spreadsheetml/2006/main" count="26" uniqueCount="16">
  <si>
    <t>Day</t>
  </si>
  <si>
    <t>Date</t>
  </si>
  <si>
    <t>WHT</t>
  </si>
  <si>
    <t>STG</t>
  </si>
  <si>
    <t>Combined Total</t>
  </si>
  <si>
    <t>Total:</t>
  </si>
  <si>
    <t>Total</t>
  </si>
  <si>
    <t>November 2020: WEEKDAY TOTALS</t>
  </si>
  <si>
    <t>November 2020: WEEKEND TOTALS</t>
  </si>
  <si>
    <t>Totals:</t>
  </si>
  <si>
    <t>Total Weekday Ridership:</t>
  </si>
  <si>
    <t>Total Weekend Ridership:</t>
  </si>
  <si>
    <t>Total Ridership November 2020:</t>
  </si>
  <si>
    <t>Average Ridership/Weekday:</t>
  </si>
  <si>
    <t>Average SAT Ridership:</t>
  </si>
  <si>
    <t>Average SUN Ridership: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</si>
</sst>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/>
    <xf numFmtId="164" fontId="0" fillId="0" borderId="1" xfId="1" applyNumberFormat="1" applyFont="1" applyFill="1" applyBorder="1"/>
    <xf numFmtId="164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/>
    <xf numFmtId="17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8"/>
  <sheetViews>
    <sheetView tabSelected="1" workbookViewId="0">
      <selection activeCell="D10" sqref="D10"/>
    </sheetView>
  </sheetViews>
  <sheetFormatPr defaultColWidth="9.109375" defaultRowHeight="13.8" x14ac:dyDescent="0.25"/>
  <cols>
    <col min="1" max="1" width="10.88671875" style="1" customWidth="1"/>
    <col min="2" max="2" width="9.88671875" style="1" bestFit="1" customWidth="1"/>
    <col min="3" max="4" width="10" style="1" bestFit="1" customWidth="1"/>
    <col min="5" max="5" width="10.33203125" style="1" customWidth="1"/>
    <col min="6" max="16384" width="9.109375" style="1"/>
  </cols>
  <sheetData>
    <row r="4" spans="1:5" x14ac:dyDescent="0.25">
      <c r="A4" s="15">
        <v>44136</v>
      </c>
      <c r="B4" s="16"/>
      <c r="C4" s="16"/>
      <c r="D4" s="16"/>
      <c r="E4" s="16"/>
    </row>
    <row r="5" spans="1:5" ht="27.6" x14ac:dyDescent="0.2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9" t="str">
        <f t="shared" ref="A6:A35" si="0">CHOOSE(WEEKDAY(B6),"SUN","MON","TUE","WED","THU","FRI","SAT")</f>
        <v>SUN</v>
      </c>
      <c r="B6" s="10">
        <v>44136</v>
      </c>
      <c r="C6" s="11">
        <v>6434</v>
      </c>
      <c r="D6" s="11">
        <v>5705</v>
      </c>
      <c r="E6" s="12">
        <f>SUM(C6:D6)</f>
        <v>12139</v>
      </c>
    </row>
    <row r="7" spans="1:5" x14ac:dyDescent="0.25">
      <c r="A7" s="9" t="str">
        <f t="shared" si="0"/>
        <v>MON</v>
      </c>
      <c r="B7" s="10">
        <v>44137</v>
      </c>
      <c r="C7" s="11">
        <v>10931</v>
      </c>
      <c r="D7" s="11">
        <v>10692</v>
      </c>
      <c r="E7" s="12">
        <f t="shared" ref="E7:E35" si="1">SUM(C7:D7)</f>
        <v>21623</v>
      </c>
    </row>
    <row r="8" spans="1:5" x14ac:dyDescent="0.25">
      <c r="A8" s="9" t="str">
        <f t="shared" si="0"/>
        <v>TUE</v>
      </c>
      <c r="B8" s="10">
        <v>44138</v>
      </c>
      <c r="C8" s="11">
        <v>9987</v>
      </c>
      <c r="D8" s="11">
        <v>9969</v>
      </c>
      <c r="E8" s="12">
        <f t="shared" si="1"/>
        <v>19956</v>
      </c>
    </row>
    <row r="9" spans="1:5" x14ac:dyDescent="0.25">
      <c r="A9" s="9" t="str">
        <f t="shared" si="0"/>
        <v>WED</v>
      </c>
      <c r="B9" s="10">
        <v>44139</v>
      </c>
      <c r="C9" s="11">
        <v>10762</v>
      </c>
      <c r="D9" s="11">
        <v>10572</v>
      </c>
      <c r="E9" s="12">
        <f t="shared" si="1"/>
        <v>21334</v>
      </c>
    </row>
    <row r="10" spans="1:5" x14ac:dyDescent="0.25">
      <c r="A10" s="9" t="str">
        <f t="shared" si="0"/>
        <v>THU</v>
      </c>
      <c r="B10" s="10">
        <v>44140</v>
      </c>
      <c r="C10" s="11">
        <v>11576</v>
      </c>
      <c r="D10" s="11">
        <v>11452</v>
      </c>
      <c r="E10" s="12">
        <f t="shared" si="1"/>
        <v>23028</v>
      </c>
    </row>
    <row r="11" spans="1:5" x14ac:dyDescent="0.25">
      <c r="A11" s="9" t="str">
        <f t="shared" si="0"/>
        <v>FRI</v>
      </c>
      <c r="B11" s="10">
        <v>44141</v>
      </c>
      <c r="C11" s="11">
        <v>11751</v>
      </c>
      <c r="D11" s="11">
        <v>12048</v>
      </c>
      <c r="E11" s="12">
        <f t="shared" si="1"/>
        <v>23799</v>
      </c>
    </row>
    <row r="12" spans="1:5" x14ac:dyDescent="0.25">
      <c r="A12" s="9" t="str">
        <f t="shared" si="0"/>
        <v>SAT</v>
      </c>
      <c r="B12" s="10">
        <v>44142</v>
      </c>
      <c r="C12" s="11">
        <v>10195</v>
      </c>
      <c r="D12" s="11">
        <v>9895</v>
      </c>
      <c r="E12" s="12">
        <f t="shared" si="1"/>
        <v>20090</v>
      </c>
    </row>
    <row r="13" spans="1:5" x14ac:dyDescent="0.25">
      <c r="A13" s="9" t="str">
        <f t="shared" si="0"/>
        <v>SUN</v>
      </c>
      <c r="B13" s="10">
        <v>44143</v>
      </c>
      <c r="C13" s="11">
        <v>8948</v>
      </c>
      <c r="D13" s="11">
        <v>8516</v>
      </c>
      <c r="E13" s="12">
        <f t="shared" si="1"/>
        <v>17464</v>
      </c>
    </row>
    <row r="14" spans="1:5" x14ac:dyDescent="0.25">
      <c r="A14" s="9" t="str">
        <f t="shared" si="0"/>
        <v>MON</v>
      </c>
      <c r="B14" s="10">
        <v>44144</v>
      </c>
      <c r="C14" s="11">
        <v>11140</v>
      </c>
      <c r="D14" s="11">
        <v>11064</v>
      </c>
      <c r="E14" s="12">
        <f t="shared" si="1"/>
        <v>22204</v>
      </c>
    </row>
    <row r="15" spans="1:5" x14ac:dyDescent="0.25">
      <c r="A15" s="9" t="str">
        <f t="shared" si="0"/>
        <v>TUE</v>
      </c>
      <c r="B15" s="10">
        <v>44145</v>
      </c>
      <c r="C15" s="11">
        <v>12106</v>
      </c>
      <c r="D15" s="11">
        <v>11688</v>
      </c>
      <c r="E15" s="12">
        <f t="shared" si="1"/>
        <v>23794</v>
      </c>
    </row>
    <row r="16" spans="1:5" x14ac:dyDescent="0.25">
      <c r="A16" s="9" t="str">
        <f t="shared" si="0"/>
        <v>WED</v>
      </c>
      <c r="B16" s="10">
        <v>44146</v>
      </c>
      <c r="C16" s="11">
        <v>9713</v>
      </c>
      <c r="D16" s="11">
        <v>9671</v>
      </c>
      <c r="E16" s="12">
        <f t="shared" si="1"/>
        <v>19384</v>
      </c>
    </row>
    <row r="17" spans="1:5" x14ac:dyDescent="0.25">
      <c r="A17" s="9" t="str">
        <f t="shared" si="0"/>
        <v>THU</v>
      </c>
      <c r="B17" s="10">
        <v>44147</v>
      </c>
      <c r="C17" s="11">
        <v>10540</v>
      </c>
      <c r="D17" s="11">
        <v>10474</v>
      </c>
      <c r="E17" s="12">
        <f t="shared" si="1"/>
        <v>21014</v>
      </c>
    </row>
    <row r="18" spans="1:5" x14ac:dyDescent="0.25">
      <c r="A18" s="9" t="str">
        <f t="shared" si="0"/>
        <v>FRI</v>
      </c>
      <c r="B18" s="10">
        <v>44148</v>
      </c>
      <c r="C18" s="11">
        <v>11079</v>
      </c>
      <c r="D18" s="11">
        <v>10877</v>
      </c>
      <c r="E18" s="12">
        <f t="shared" si="1"/>
        <v>21956</v>
      </c>
    </row>
    <row r="19" spans="1:5" x14ac:dyDescent="0.25">
      <c r="A19" s="9" t="str">
        <f t="shared" si="0"/>
        <v>SAT</v>
      </c>
      <c r="B19" s="10">
        <v>44149</v>
      </c>
      <c r="C19" s="11">
        <v>9177</v>
      </c>
      <c r="D19" s="11">
        <v>8933</v>
      </c>
      <c r="E19" s="12">
        <f t="shared" si="1"/>
        <v>18110</v>
      </c>
    </row>
    <row r="20" spans="1:5" x14ac:dyDescent="0.25">
      <c r="A20" s="9" t="str">
        <f t="shared" si="0"/>
        <v>SUN</v>
      </c>
      <c r="B20" s="10">
        <v>44150</v>
      </c>
      <c r="C20" s="11">
        <v>6343</v>
      </c>
      <c r="D20" s="11">
        <v>6123</v>
      </c>
      <c r="E20" s="12">
        <f t="shared" si="1"/>
        <v>12466</v>
      </c>
    </row>
    <row r="21" spans="1:5" x14ac:dyDescent="0.25">
      <c r="A21" s="9" t="str">
        <f t="shared" si="0"/>
        <v>MON</v>
      </c>
      <c r="B21" s="10">
        <v>44151</v>
      </c>
      <c r="C21" s="11">
        <v>11003</v>
      </c>
      <c r="D21" s="11">
        <v>10799</v>
      </c>
      <c r="E21" s="12">
        <f t="shared" si="1"/>
        <v>21802</v>
      </c>
    </row>
    <row r="22" spans="1:5" x14ac:dyDescent="0.25">
      <c r="A22" s="9" t="str">
        <f t="shared" si="0"/>
        <v>TUE</v>
      </c>
      <c r="B22" s="10">
        <v>44152</v>
      </c>
      <c r="C22" s="11">
        <v>10946</v>
      </c>
      <c r="D22" s="11">
        <v>10642</v>
      </c>
      <c r="E22" s="12">
        <f t="shared" si="1"/>
        <v>21588</v>
      </c>
    </row>
    <row r="23" spans="1:5" x14ac:dyDescent="0.25">
      <c r="A23" s="9" t="str">
        <f t="shared" si="0"/>
        <v>WED</v>
      </c>
      <c r="B23" s="10">
        <v>44153</v>
      </c>
      <c r="C23" s="11">
        <v>10807</v>
      </c>
      <c r="D23" s="11">
        <v>10605</v>
      </c>
      <c r="E23" s="12">
        <f t="shared" si="1"/>
        <v>21412</v>
      </c>
    </row>
    <row r="24" spans="1:5" x14ac:dyDescent="0.25">
      <c r="A24" s="9" t="str">
        <f t="shared" si="0"/>
        <v>THU</v>
      </c>
      <c r="B24" s="10">
        <v>44154</v>
      </c>
      <c r="C24" s="11">
        <v>10620</v>
      </c>
      <c r="D24" s="11">
        <v>10466</v>
      </c>
      <c r="E24" s="12">
        <f t="shared" si="1"/>
        <v>21086</v>
      </c>
    </row>
    <row r="25" spans="1:5" x14ac:dyDescent="0.25">
      <c r="A25" s="9" t="str">
        <f t="shared" si="0"/>
        <v>FRI</v>
      </c>
      <c r="B25" s="10">
        <v>44155</v>
      </c>
      <c r="C25" s="11">
        <v>11352</v>
      </c>
      <c r="D25" s="11">
        <v>11411</v>
      </c>
      <c r="E25" s="12">
        <f t="shared" si="1"/>
        <v>22763</v>
      </c>
    </row>
    <row r="26" spans="1:5" x14ac:dyDescent="0.25">
      <c r="A26" s="9" t="str">
        <f t="shared" si="0"/>
        <v>SAT</v>
      </c>
      <c r="B26" s="10">
        <v>44156</v>
      </c>
      <c r="C26" s="11">
        <v>8532</v>
      </c>
      <c r="D26" s="11">
        <v>8365</v>
      </c>
      <c r="E26" s="12">
        <f t="shared" si="1"/>
        <v>16897</v>
      </c>
    </row>
    <row r="27" spans="1:5" x14ac:dyDescent="0.25">
      <c r="A27" s="9" t="str">
        <f t="shared" si="0"/>
        <v>SUN</v>
      </c>
      <c r="B27" s="10">
        <v>44157</v>
      </c>
      <c r="C27" s="11">
        <v>6475</v>
      </c>
      <c r="D27" s="11">
        <v>6072</v>
      </c>
      <c r="E27" s="12">
        <f t="shared" si="1"/>
        <v>12547</v>
      </c>
    </row>
    <row r="28" spans="1:5" x14ac:dyDescent="0.25">
      <c r="A28" s="9" t="str">
        <f t="shared" si="0"/>
        <v>MON</v>
      </c>
      <c r="B28" s="10">
        <v>44158</v>
      </c>
      <c r="C28" s="11">
        <v>10211</v>
      </c>
      <c r="D28" s="11">
        <v>10296</v>
      </c>
      <c r="E28" s="12">
        <f t="shared" si="1"/>
        <v>20507</v>
      </c>
    </row>
    <row r="29" spans="1:5" x14ac:dyDescent="0.25">
      <c r="A29" s="9" t="str">
        <f t="shared" si="0"/>
        <v>TUE</v>
      </c>
      <c r="B29" s="10">
        <v>44159</v>
      </c>
      <c r="C29" s="11">
        <v>10940</v>
      </c>
      <c r="D29" s="11">
        <v>10899</v>
      </c>
      <c r="E29" s="12">
        <f t="shared" si="1"/>
        <v>21839</v>
      </c>
    </row>
    <row r="30" spans="1:5" x14ac:dyDescent="0.25">
      <c r="A30" s="9" t="str">
        <f t="shared" si="0"/>
        <v>WED</v>
      </c>
      <c r="B30" s="10">
        <v>44160</v>
      </c>
      <c r="C30" s="11">
        <v>11174</v>
      </c>
      <c r="D30" s="11">
        <v>10743</v>
      </c>
      <c r="E30" s="12">
        <f t="shared" si="1"/>
        <v>21917</v>
      </c>
    </row>
    <row r="31" spans="1:5" x14ac:dyDescent="0.25">
      <c r="A31" s="9" t="str">
        <f t="shared" si="0"/>
        <v>THU</v>
      </c>
      <c r="B31" s="10">
        <v>44161</v>
      </c>
      <c r="C31" s="11">
        <v>6044</v>
      </c>
      <c r="D31" s="11">
        <v>6392</v>
      </c>
      <c r="E31" s="12">
        <f t="shared" si="1"/>
        <v>12436</v>
      </c>
    </row>
    <row r="32" spans="1:5" x14ac:dyDescent="0.25">
      <c r="A32" s="9" t="str">
        <f t="shared" si="0"/>
        <v>FRI</v>
      </c>
      <c r="B32" s="10">
        <v>44162</v>
      </c>
      <c r="C32" s="11">
        <v>9506</v>
      </c>
      <c r="D32" s="11">
        <v>9585</v>
      </c>
      <c r="E32" s="12">
        <f t="shared" si="1"/>
        <v>19091</v>
      </c>
    </row>
    <row r="33" spans="1:5" x14ac:dyDescent="0.25">
      <c r="A33" s="9" t="str">
        <f t="shared" si="0"/>
        <v>SAT</v>
      </c>
      <c r="B33" s="10">
        <v>44163</v>
      </c>
      <c r="C33" s="11">
        <v>8322</v>
      </c>
      <c r="D33" s="11">
        <v>8408</v>
      </c>
      <c r="E33" s="12">
        <f t="shared" si="1"/>
        <v>16730</v>
      </c>
    </row>
    <row r="34" spans="1:5" x14ac:dyDescent="0.25">
      <c r="A34" s="9" t="str">
        <f t="shared" si="0"/>
        <v>SUN</v>
      </c>
      <c r="B34" s="10">
        <v>44164</v>
      </c>
      <c r="C34" s="11">
        <v>6924</v>
      </c>
      <c r="D34" s="11">
        <v>6910</v>
      </c>
      <c r="E34" s="12">
        <f t="shared" si="1"/>
        <v>13834</v>
      </c>
    </row>
    <row r="35" spans="1:5" x14ac:dyDescent="0.25">
      <c r="A35" s="9" t="str">
        <f t="shared" si="0"/>
        <v>MON</v>
      </c>
      <c r="B35" s="10">
        <v>44165</v>
      </c>
      <c r="C35" s="11">
        <v>9395</v>
      </c>
      <c r="D35" s="11">
        <v>9119</v>
      </c>
      <c r="E35" s="12">
        <f t="shared" si="1"/>
        <v>18514</v>
      </c>
    </row>
    <row r="36" spans="1:5" x14ac:dyDescent="0.25">
      <c r="A36" s="17" t="s">
        <v>5</v>
      </c>
      <c r="B36" s="17"/>
      <c r="C36" s="12">
        <f>SUM(C6:C35)</f>
        <v>292933</v>
      </c>
      <c r="D36" s="12">
        <f>SUM(D6:D35)</f>
        <v>288391</v>
      </c>
      <c r="E36" s="12">
        <f>SUM(E6:E35)</f>
        <v>581324</v>
      </c>
    </row>
    <row r="38" spans="1:5" x14ac:dyDescent="0.25">
      <c r="A38" s="17" t="s">
        <v>12</v>
      </c>
      <c r="B38" s="17"/>
      <c r="C38" s="17"/>
      <c r="D38" s="17"/>
      <c r="E38" s="12">
        <f>E36</f>
        <v>581324</v>
      </c>
    </row>
  </sheetData>
  <mergeCells count="3">
    <mergeCell ref="A4:E4"/>
    <mergeCell ref="A36:B36"/>
    <mergeCell ref="A38:D38"/>
  </mergeCells>
  <pageMargins left="0.7" right="0.7" top="0.75" bottom="0.75" header="0.3" footer="0.3"/>
  <pageSetup orientation="portrait" r:id="rId1"/>
  <ignoredErrors>
    <ignoredError sqref="E6:E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49"/>
  <sheetViews>
    <sheetView workbookViewId="0"/>
  </sheetViews>
  <sheetFormatPr defaultRowHeight="14.4" x14ac:dyDescent="0.3"/>
  <cols>
    <col min="1" max="1" width="10.109375" bestFit="1" customWidth="1"/>
    <col min="2" max="2" width="9.88671875" bestFit="1" customWidth="1"/>
    <col min="3" max="5" width="11.5546875" bestFit="1" customWidth="1"/>
    <col min="8" max="8" width="9.88671875" bestFit="1" customWidth="1"/>
  </cols>
  <sheetData>
    <row r="2" spans="1:24" x14ac:dyDescent="0.3">
      <c r="A2" s="19" t="s">
        <v>7</v>
      </c>
      <c r="B2" s="19"/>
      <c r="C2" s="19"/>
      <c r="D2" s="19"/>
      <c r="E2" s="19"/>
    </row>
    <row r="3" spans="1:24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6</v>
      </c>
      <c r="W3">
        <v>9585</v>
      </c>
      <c r="X3">
        <v>9119</v>
      </c>
    </row>
    <row r="4" spans="1:24" x14ac:dyDescent="0.3">
      <c r="A4" s="9" t="str">
        <f t="shared" ref="A4:A24" si="0">CHOOSE(WEEKDAY(B4),"SUN","MON","TUES","WED","THU","FRI","SAT")</f>
        <v>MON</v>
      </c>
      <c r="B4" s="10">
        <v>44137</v>
      </c>
      <c r="C4" s="5">
        <v>10931</v>
      </c>
      <c r="D4" s="5">
        <v>10692</v>
      </c>
      <c r="E4" s="5">
        <f>SUM(C4:D4)</f>
        <v>21623</v>
      </c>
    </row>
    <row r="5" spans="1:24" x14ac:dyDescent="0.3">
      <c r="A5" s="9" t="str">
        <f t="shared" si="0"/>
        <v>TUES</v>
      </c>
      <c r="B5" s="10">
        <v>44138</v>
      </c>
      <c r="C5" s="5">
        <v>9987</v>
      </c>
      <c r="D5" s="5">
        <v>9969</v>
      </c>
      <c r="E5" s="5">
        <f t="shared" ref="E5:E24" si="1">SUM(C5:D5)</f>
        <v>19956</v>
      </c>
      <c r="W5">
        <v>9506</v>
      </c>
      <c r="X5">
        <v>9395</v>
      </c>
    </row>
    <row r="6" spans="1:24" x14ac:dyDescent="0.3">
      <c r="A6" s="9" t="str">
        <f t="shared" si="0"/>
        <v>WED</v>
      </c>
      <c r="B6" s="10">
        <v>44139</v>
      </c>
      <c r="C6" s="5">
        <v>10762</v>
      </c>
      <c r="D6" s="5">
        <v>10572</v>
      </c>
      <c r="E6" s="5">
        <f t="shared" si="1"/>
        <v>21334</v>
      </c>
    </row>
    <row r="7" spans="1:24" x14ac:dyDescent="0.3">
      <c r="A7" s="9" t="str">
        <f t="shared" si="0"/>
        <v>THU</v>
      </c>
      <c r="B7" s="10">
        <v>44140</v>
      </c>
      <c r="C7" s="5">
        <v>11576</v>
      </c>
      <c r="D7" s="5">
        <v>11452</v>
      </c>
      <c r="E7" s="5">
        <f t="shared" si="1"/>
        <v>23028</v>
      </c>
    </row>
    <row r="8" spans="1:24" x14ac:dyDescent="0.3">
      <c r="A8" s="9" t="str">
        <f t="shared" si="0"/>
        <v>FRI</v>
      </c>
      <c r="B8" s="10">
        <v>44141</v>
      </c>
      <c r="C8" s="5">
        <v>11751</v>
      </c>
      <c r="D8" s="5">
        <v>12048</v>
      </c>
      <c r="E8" s="5">
        <f t="shared" si="1"/>
        <v>23799</v>
      </c>
    </row>
    <row r="9" spans="1:24" x14ac:dyDescent="0.3">
      <c r="A9" s="9" t="str">
        <f t="shared" si="0"/>
        <v>MON</v>
      </c>
      <c r="B9" s="10">
        <v>44144</v>
      </c>
      <c r="C9" s="5">
        <v>11140</v>
      </c>
      <c r="D9" s="5">
        <v>11064</v>
      </c>
      <c r="E9" s="5">
        <f t="shared" si="1"/>
        <v>22204</v>
      </c>
    </row>
    <row r="10" spans="1:24" x14ac:dyDescent="0.3">
      <c r="A10" s="9" t="str">
        <f t="shared" si="0"/>
        <v>TUES</v>
      </c>
      <c r="B10" s="10">
        <v>44145</v>
      </c>
      <c r="C10" s="5">
        <v>12106</v>
      </c>
      <c r="D10" s="5">
        <v>11688</v>
      </c>
      <c r="E10" s="5">
        <f t="shared" si="1"/>
        <v>23794</v>
      </c>
    </row>
    <row r="11" spans="1:24" x14ac:dyDescent="0.3">
      <c r="A11" s="9" t="str">
        <f t="shared" si="0"/>
        <v>WED</v>
      </c>
      <c r="B11" s="10">
        <v>44146</v>
      </c>
      <c r="C11" s="5">
        <v>9713</v>
      </c>
      <c r="D11" s="5">
        <v>9671</v>
      </c>
      <c r="E11" s="5">
        <f t="shared" si="1"/>
        <v>19384</v>
      </c>
    </row>
    <row r="12" spans="1:24" x14ac:dyDescent="0.3">
      <c r="A12" s="9" t="str">
        <f t="shared" si="0"/>
        <v>THU</v>
      </c>
      <c r="B12" s="10">
        <v>44147</v>
      </c>
      <c r="C12" s="5">
        <v>10540</v>
      </c>
      <c r="D12" s="5">
        <v>10474</v>
      </c>
      <c r="E12" s="5">
        <f t="shared" si="1"/>
        <v>21014</v>
      </c>
    </row>
    <row r="13" spans="1:24" x14ac:dyDescent="0.3">
      <c r="A13" s="9" t="str">
        <f t="shared" si="0"/>
        <v>FRI</v>
      </c>
      <c r="B13" s="10">
        <v>44148</v>
      </c>
      <c r="C13" s="5">
        <v>11079</v>
      </c>
      <c r="D13" s="5">
        <v>10877</v>
      </c>
      <c r="E13" s="5">
        <f t="shared" si="1"/>
        <v>21956</v>
      </c>
    </row>
    <row r="14" spans="1:24" x14ac:dyDescent="0.3">
      <c r="A14" s="9" t="str">
        <f t="shared" si="0"/>
        <v>MON</v>
      </c>
      <c r="B14" s="10">
        <v>44151</v>
      </c>
      <c r="C14" s="5">
        <v>11003</v>
      </c>
      <c r="D14" s="5">
        <v>10799</v>
      </c>
      <c r="E14" s="5">
        <f t="shared" si="1"/>
        <v>21802</v>
      </c>
    </row>
    <row r="15" spans="1:24" x14ac:dyDescent="0.3">
      <c r="A15" s="9" t="str">
        <f t="shared" si="0"/>
        <v>TUES</v>
      </c>
      <c r="B15" s="10">
        <v>44152</v>
      </c>
      <c r="C15" s="5">
        <v>10946</v>
      </c>
      <c r="D15" s="5">
        <v>10642</v>
      </c>
      <c r="E15" s="5">
        <f t="shared" si="1"/>
        <v>21588</v>
      </c>
    </row>
    <row r="16" spans="1:24" x14ac:dyDescent="0.3">
      <c r="A16" s="9" t="str">
        <f t="shared" si="0"/>
        <v>WED</v>
      </c>
      <c r="B16" s="10">
        <v>44153</v>
      </c>
      <c r="C16" s="5">
        <v>10807</v>
      </c>
      <c r="D16" s="5">
        <v>10605</v>
      </c>
      <c r="E16" s="5">
        <f t="shared" si="1"/>
        <v>21412</v>
      </c>
    </row>
    <row r="17" spans="1:5" x14ac:dyDescent="0.3">
      <c r="A17" s="9" t="str">
        <f t="shared" si="0"/>
        <v>THU</v>
      </c>
      <c r="B17" s="10">
        <v>44154</v>
      </c>
      <c r="C17" s="5">
        <v>10620</v>
      </c>
      <c r="D17" s="5">
        <v>10466</v>
      </c>
      <c r="E17" s="5">
        <f t="shared" si="1"/>
        <v>21086</v>
      </c>
    </row>
    <row r="18" spans="1:5" x14ac:dyDescent="0.3">
      <c r="A18" s="9" t="str">
        <f t="shared" si="0"/>
        <v>FRI</v>
      </c>
      <c r="B18" s="10">
        <v>44155</v>
      </c>
      <c r="C18" s="5">
        <v>11352</v>
      </c>
      <c r="D18" s="5">
        <v>11411</v>
      </c>
      <c r="E18" s="5">
        <f t="shared" si="1"/>
        <v>22763</v>
      </c>
    </row>
    <row r="19" spans="1:5" x14ac:dyDescent="0.3">
      <c r="A19" s="9" t="str">
        <f t="shared" si="0"/>
        <v>MON</v>
      </c>
      <c r="B19" s="10">
        <v>44158</v>
      </c>
      <c r="C19" s="5">
        <v>10211</v>
      </c>
      <c r="D19" s="5">
        <v>10296</v>
      </c>
      <c r="E19" s="5">
        <f t="shared" si="1"/>
        <v>20507</v>
      </c>
    </row>
    <row r="20" spans="1:5" x14ac:dyDescent="0.3">
      <c r="A20" s="9" t="str">
        <f t="shared" si="0"/>
        <v>TUES</v>
      </c>
      <c r="B20" s="10">
        <v>44159</v>
      </c>
      <c r="C20" s="5">
        <v>10940</v>
      </c>
      <c r="D20" s="5">
        <v>10899</v>
      </c>
      <c r="E20" s="5">
        <f t="shared" si="1"/>
        <v>21839</v>
      </c>
    </row>
    <row r="21" spans="1:5" x14ac:dyDescent="0.3">
      <c r="A21" s="9" t="str">
        <f t="shared" si="0"/>
        <v>WED</v>
      </c>
      <c r="B21" s="10">
        <v>44160</v>
      </c>
      <c r="C21" s="5">
        <v>11174</v>
      </c>
      <c r="D21" s="5">
        <v>10743</v>
      </c>
      <c r="E21" s="5">
        <f t="shared" si="1"/>
        <v>21917</v>
      </c>
    </row>
    <row r="22" spans="1:5" x14ac:dyDescent="0.3">
      <c r="A22" s="9" t="str">
        <f t="shared" si="0"/>
        <v>THU</v>
      </c>
      <c r="B22" s="10">
        <v>44161</v>
      </c>
      <c r="C22" s="5">
        <v>6044</v>
      </c>
      <c r="D22" s="5">
        <v>6392</v>
      </c>
      <c r="E22" s="5">
        <f t="shared" si="1"/>
        <v>12436</v>
      </c>
    </row>
    <row r="23" spans="1:5" x14ac:dyDescent="0.3">
      <c r="A23" s="9" t="str">
        <f t="shared" si="0"/>
        <v>FRI</v>
      </c>
      <c r="B23" s="10">
        <v>44162</v>
      </c>
      <c r="C23" s="5">
        <v>9506</v>
      </c>
      <c r="D23" s="5">
        <v>9585</v>
      </c>
      <c r="E23" s="5">
        <f t="shared" si="1"/>
        <v>19091</v>
      </c>
    </row>
    <row r="24" spans="1:5" x14ac:dyDescent="0.3">
      <c r="A24" s="9" t="str">
        <f t="shared" si="0"/>
        <v>MON</v>
      </c>
      <c r="B24" s="10">
        <v>44165</v>
      </c>
      <c r="C24" s="5">
        <v>9395</v>
      </c>
      <c r="D24" s="5">
        <v>9119</v>
      </c>
      <c r="E24" s="5">
        <f t="shared" si="1"/>
        <v>18514</v>
      </c>
    </row>
    <row r="25" spans="1:5" x14ac:dyDescent="0.3">
      <c r="A25" s="18" t="s">
        <v>9</v>
      </c>
      <c r="B25" s="18"/>
      <c r="C25" s="5">
        <f>SUM(C4:C24)</f>
        <v>221583</v>
      </c>
      <c r="D25" s="5">
        <f t="shared" ref="D25:E25" si="2">SUM(D4:D24)</f>
        <v>219464</v>
      </c>
      <c r="E25" s="5">
        <f t="shared" si="2"/>
        <v>441047</v>
      </c>
    </row>
    <row r="27" spans="1:5" x14ac:dyDescent="0.3">
      <c r="A27" s="18" t="s">
        <v>10</v>
      </c>
      <c r="B27" s="18"/>
      <c r="C27" s="18"/>
      <c r="D27" s="18"/>
      <c r="E27" s="8">
        <f>E25</f>
        <v>441047</v>
      </c>
    </row>
    <row r="28" spans="1:5" x14ac:dyDescent="0.3">
      <c r="A28" s="18" t="s">
        <v>13</v>
      </c>
      <c r="B28" s="18"/>
      <c r="C28" s="18"/>
      <c r="D28" s="18"/>
      <c r="E28" s="8">
        <f>AVERAGE(E4:E24)</f>
        <v>21002.238095238095</v>
      </c>
    </row>
    <row r="29" spans="1:5" x14ac:dyDescent="0.3">
      <c r="A29" s="13"/>
      <c r="B29" s="13"/>
      <c r="C29" s="13"/>
      <c r="D29" s="13"/>
      <c r="E29" s="14"/>
    </row>
    <row r="30" spans="1:5" x14ac:dyDescent="0.3">
      <c r="A30" s="13"/>
      <c r="B30" s="13"/>
      <c r="C30" s="13"/>
      <c r="D30" s="13"/>
      <c r="E30" s="14"/>
    </row>
    <row r="31" spans="1:5" x14ac:dyDescent="0.3">
      <c r="A31" s="13"/>
      <c r="B31" s="13"/>
      <c r="C31" s="13"/>
      <c r="D31" s="13"/>
      <c r="E31" s="14"/>
    </row>
    <row r="32" spans="1:5" x14ac:dyDescent="0.3">
      <c r="A32" s="13"/>
      <c r="B32" s="13"/>
      <c r="C32" s="13"/>
      <c r="D32" s="13"/>
      <c r="E32" s="14"/>
    </row>
    <row r="34" spans="1:5" x14ac:dyDescent="0.3">
      <c r="A34" s="19" t="s">
        <v>8</v>
      </c>
      <c r="B34" s="19"/>
      <c r="C34" s="19"/>
      <c r="D34" s="19"/>
      <c r="E34" s="19"/>
    </row>
    <row r="35" spans="1:5" x14ac:dyDescent="0.3">
      <c r="A35" s="4" t="s">
        <v>0</v>
      </c>
      <c r="B35" s="4" t="s">
        <v>1</v>
      </c>
      <c r="C35" s="4" t="s">
        <v>2</v>
      </c>
      <c r="D35" s="4" t="s">
        <v>3</v>
      </c>
      <c r="E35" s="4" t="s">
        <v>6</v>
      </c>
    </row>
    <row r="36" spans="1:5" x14ac:dyDescent="0.3">
      <c r="A36" s="9" t="str">
        <f t="shared" ref="A36:A44" si="3">CHOOSE(WEEKDAY(B36),"SUN","MON","TUES","WED","THU","FRI","SAT")</f>
        <v>SUN</v>
      </c>
      <c r="B36" s="10">
        <v>44136</v>
      </c>
      <c r="C36" s="5">
        <v>6434</v>
      </c>
      <c r="D36" s="5">
        <v>5705</v>
      </c>
      <c r="E36" s="6">
        <f>SUM(C36:D36)</f>
        <v>12139</v>
      </c>
    </row>
    <row r="37" spans="1:5" x14ac:dyDescent="0.3">
      <c r="A37" s="9" t="str">
        <f t="shared" si="3"/>
        <v>SAT</v>
      </c>
      <c r="B37" s="10">
        <v>44142</v>
      </c>
      <c r="C37" s="5">
        <v>10195</v>
      </c>
      <c r="D37" s="5">
        <v>9895</v>
      </c>
      <c r="E37" s="6">
        <f t="shared" ref="E37:E44" si="4">SUM(C37:D37)</f>
        <v>20090</v>
      </c>
    </row>
    <row r="38" spans="1:5" x14ac:dyDescent="0.3">
      <c r="A38" s="9" t="str">
        <f t="shared" si="3"/>
        <v>SUN</v>
      </c>
      <c r="B38" s="10">
        <v>44143</v>
      </c>
      <c r="C38" s="5">
        <v>8948</v>
      </c>
      <c r="D38" s="5">
        <v>8516</v>
      </c>
      <c r="E38" s="6">
        <f t="shared" si="4"/>
        <v>17464</v>
      </c>
    </row>
    <row r="39" spans="1:5" x14ac:dyDescent="0.3">
      <c r="A39" s="9" t="str">
        <f t="shared" si="3"/>
        <v>SAT</v>
      </c>
      <c r="B39" s="10">
        <v>44149</v>
      </c>
      <c r="C39" s="5">
        <v>9177</v>
      </c>
      <c r="D39" s="5">
        <v>8933</v>
      </c>
      <c r="E39" s="6">
        <f t="shared" si="4"/>
        <v>18110</v>
      </c>
    </row>
    <row r="40" spans="1:5" x14ac:dyDescent="0.3">
      <c r="A40" s="9" t="str">
        <f t="shared" si="3"/>
        <v>SUN</v>
      </c>
      <c r="B40" s="10">
        <v>44150</v>
      </c>
      <c r="C40" s="5">
        <v>6343</v>
      </c>
      <c r="D40" s="5">
        <v>6123</v>
      </c>
      <c r="E40" s="6">
        <f t="shared" si="4"/>
        <v>12466</v>
      </c>
    </row>
    <row r="41" spans="1:5" x14ac:dyDescent="0.3">
      <c r="A41" s="9" t="str">
        <f t="shared" si="3"/>
        <v>SAT</v>
      </c>
      <c r="B41" s="10">
        <v>44156</v>
      </c>
      <c r="C41" s="5">
        <v>8532</v>
      </c>
      <c r="D41" s="5">
        <v>8365</v>
      </c>
      <c r="E41" s="6">
        <f t="shared" si="4"/>
        <v>16897</v>
      </c>
    </row>
    <row r="42" spans="1:5" x14ac:dyDescent="0.3">
      <c r="A42" s="9" t="str">
        <f t="shared" si="3"/>
        <v>SUN</v>
      </c>
      <c r="B42" s="10">
        <v>44157</v>
      </c>
      <c r="C42" s="5">
        <v>6475</v>
      </c>
      <c r="D42" s="5">
        <v>6072</v>
      </c>
      <c r="E42" s="6">
        <f t="shared" si="4"/>
        <v>12547</v>
      </c>
    </row>
    <row r="43" spans="1:5" x14ac:dyDescent="0.3">
      <c r="A43" s="9" t="str">
        <f t="shared" si="3"/>
        <v>SAT</v>
      </c>
      <c r="B43" s="10">
        <v>44163</v>
      </c>
      <c r="C43" s="5">
        <v>8322</v>
      </c>
      <c r="D43" s="5">
        <v>8408</v>
      </c>
      <c r="E43" s="6">
        <f t="shared" si="4"/>
        <v>16730</v>
      </c>
    </row>
    <row r="44" spans="1:5" x14ac:dyDescent="0.3">
      <c r="A44" s="9" t="str">
        <f t="shared" si="3"/>
        <v>SUN</v>
      </c>
      <c r="B44" s="10">
        <v>44164</v>
      </c>
      <c r="C44" s="5">
        <v>6924</v>
      </c>
      <c r="D44" s="5">
        <v>6910</v>
      </c>
      <c r="E44" s="6">
        <f t="shared" si="4"/>
        <v>13834</v>
      </c>
    </row>
    <row r="45" spans="1:5" x14ac:dyDescent="0.3">
      <c r="A45" s="18" t="s">
        <v>9</v>
      </c>
      <c r="B45" s="18"/>
      <c r="C45" s="6">
        <f>SUM(C36:C44)</f>
        <v>71350</v>
      </c>
      <c r="D45" s="6">
        <f>SUM(D36:D44)</f>
        <v>68927</v>
      </c>
      <c r="E45" s="7">
        <f>SUM(E36:E44)</f>
        <v>140277</v>
      </c>
    </row>
    <row r="47" spans="1:5" x14ac:dyDescent="0.3">
      <c r="A47" s="18" t="s">
        <v>11</v>
      </c>
      <c r="B47" s="18"/>
      <c r="C47" s="18"/>
      <c r="D47" s="18"/>
      <c r="E47" s="8">
        <f>E45</f>
        <v>140277</v>
      </c>
    </row>
    <row r="48" spans="1:5" x14ac:dyDescent="0.3">
      <c r="A48" s="18" t="s">
        <v>14</v>
      </c>
      <c r="B48" s="18"/>
      <c r="C48" s="18"/>
      <c r="D48" s="18"/>
      <c r="E48" s="8">
        <f>AVERAGE(E37,E39,E41,E43)</f>
        <v>17956.75</v>
      </c>
    </row>
    <row r="49" spans="1:5" x14ac:dyDescent="0.3">
      <c r="A49" s="18" t="s">
        <v>15</v>
      </c>
      <c r="B49" s="18"/>
      <c r="C49" s="18"/>
      <c r="D49" s="18"/>
      <c r="E49" s="8">
        <f>AVERAGE(E36,E38,E40,E42,E44)</f>
        <v>13690</v>
      </c>
    </row>
  </sheetData>
  <mergeCells count="9">
    <mergeCell ref="A47:D47"/>
    <mergeCell ref="A48:D48"/>
    <mergeCell ref="A49:D49"/>
    <mergeCell ref="A2:E2"/>
    <mergeCell ref="A34:E34"/>
    <mergeCell ref="A25:B25"/>
    <mergeCell ref="A45:B45"/>
    <mergeCell ref="A27:D27"/>
    <mergeCell ref="A28:D28"/>
  </mergeCells>
  <pageMargins left="0.7" right="0.7" top="0.75" bottom="0.75" header="0.3" footer="0.3"/>
  <ignoredErrors>
    <ignoredError sqref="E4:E24 E36:E4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D3CE25D-2A8E-4669-BBF9-17395AC75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C72C19-DBF0-462C-B9B5-1229438E5F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939ED7-B8CB-47EF-A8D6-73E55F96490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2020-12-04T21:36:41Z</dcterms:created>
  <dcterms:modified xsi:type="dcterms:W3CDTF">2026-04-07T23:54:37Z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