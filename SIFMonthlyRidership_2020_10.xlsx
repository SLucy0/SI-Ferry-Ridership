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Edited SIFMonthlyRidership_2017_to_2025/"/>
    </mc:Choice>
  </mc:AlternateContent>
  <xr:revisionPtr revIDLastSave="0" documentId="8_{D844A94E-9541-41A0-99E6-3C95CFAAD5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OTALS" sheetId="2" r:id="rId1"/>
    <sheet name="Weekday-Weeken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2" l="1"/>
  <c r="E37" i="2"/>
  <c r="E39" i="2" s="1"/>
  <c r="C37" i="2"/>
  <c r="D45" i="1"/>
  <c r="C45" i="1"/>
  <c r="E37" i="1"/>
  <c r="E38" i="1"/>
  <c r="E39" i="1"/>
  <c r="E40" i="1"/>
  <c r="E41" i="1"/>
  <c r="E42" i="1"/>
  <c r="E43" i="1"/>
  <c r="E44" i="1"/>
  <c r="E36" i="1"/>
  <c r="A37" i="1"/>
  <c r="A38" i="1"/>
  <c r="A39" i="1"/>
  <c r="A40" i="1"/>
  <c r="A41" i="1"/>
  <c r="A42" i="1"/>
  <c r="A43" i="1"/>
  <c r="A44" i="1"/>
  <c r="A36" i="1"/>
  <c r="D26" i="1"/>
  <c r="C26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4" i="1"/>
  <c r="E50" i="1" l="1"/>
  <c r="E29" i="1"/>
  <c r="E26" i="1"/>
  <c r="E28" i="1" s="1"/>
  <c r="E45" i="1"/>
  <c r="E47" i="1" s="1"/>
  <c r="E49" i="1"/>
</calcChain>
</file>

<file path=xl/sharedStrings.xml><?xml version="1.0" encoding="utf-8"?>
<sst xmlns="http://schemas.openxmlformats.org/spreadsheetml/2006/main" count="57" uniqueCount="23">
  <si>
    <t>STG</t>
  </si>
  <si>
    <t>WHT</t>
  </si>
  <si>
    <t>Total</t>
  </si>
  <si>
    <t>Thursday</t>
  </si>
  <si>
    <t>Friday</t>
  </si>
  <si>
    <t>Saturday</t>
  </si>
  <si>
    <t>Sunday</t>
  </si>
  <si>
    <t>Monday</t>
  </si>
  <si>
    <t>Tuesday</t>
  </si>
  <si>
    <t>Wednesday</t>
  </si>
  <si>
    <t>Day</t>
  </si>
  <si>
    <t>Date</t>
  </si>
  <si>
    <t>Combined Total</t>
  </si>
  <si>
    <t>Total:</t>
  </si>
  <si>
    <t>Totals:</t>
  </si>
  <si>
    <t>October 2020: WEEKDAY TOTALS</t>
  </si>
  <si>
    <t>Total Weekday Pax Count October 2020:</t>
  </si>
  <si>
    <t>Average Passengers/Weekday:</t>
  </si>
  <si>
    <t>October 2020: WEEKEND TOTALS</t>
  </si>
  <si>
    <t>Total Weekend Pax Count October 2020:</t>
  </si>
  <si>
    <t>Average Saturday Passengers:</t>
  </si>
  <si>
    <t>Average Sunday Passengers:</t>
  </si>
  <si>
    <t>Total October 2020 Ridership: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</si>
</sst>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1" fontId="2" fillId="5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39"/>
  <sheetViews>
    <sheetView tabSelected="1" workbookViewId="0">
      <selection activeCell="A5" sqref="A5"/>
    </sheetView>
  </sheetViews>
  <sheetFormatPr defaultColWidth="9.109375" defaultRowHeight="13.8" x14ac:dyDescent="0.25"/>
  <cols>
    <col min="1" max="1" width="13.6640625" style="2" bestFit="1" customWidth="1"/>
    <col min="2" max="2" width="12.109375" style="2" bestFit="1" customWidth="1"/>
    <col min="3" max="3" width="7.88671875" style="2" bestFit="1" customWidth="1"/>
    <col min="4" max="4" width="10.6640625" style="2" bestFit="1" customWidth="1"/>
    <col min="5" max="5" width="13" style="2" customWidth="1"/>
    <col min="6" max="16384" width="9.109375" style="2"/>
  </cols>
  <sheetData>
    <row r="4" spans="1:5" x14ac:dyDescent="0.25">
      <c r="A4" s="15">
        <v>44105</v>
      </c>
      <c r="B4" s="16"/>
      <c r="C4" s="16"/>
      <c r="D4" s="16"/>
      <c r="E4" s="16"/>
    </row>
    <row r="5" spans="1:5" s="5" customFormat="1" ht="27.6" x14ac:dyDescent="0.3">
      <c r="A5" s="6" t="s">
        <v>10</v>
      </c>
      <c r="B5" s="6" t="s">
        <v>11</v>
      </c>
      <c r="C5" s="6" t="s">
        <v>1</v>
      </c>
      <c r="D5" s="6" t="s">
        <v>0</v>
      </c>
      <c r="E5" s="7" t="s">
        <v>12</v>
      </c>
    </row>
    <row r="6" spans="1:5" x14ac:dyDescent="0.25">
      <c r="A6" s="3" t="s">
        <v>3</v>
      </c>
      <c r="B6" s="4">
        <v>44105</v>
      </c>
      <c r="C6" s="3">
        <v>11682</v>
      </c>
      <c r="D6" s="3">
        <v>11645</v>
      </c>
      <c r="E6" s="3">
        <v>23327</v>
      </c>
    </row>
    <row r="7" spans="1:5" x14ac:dyDescent="0.25">
      <c r="A7" s="3" t="s">
        <v>4</v>
      </c>
      <c r="B7" s="4">
        <v>44106</v>
      </c>
      <c r="C7" s="3">
        <v>11618</v>
      </c>
      <c r="D7" s="3">
        <v>11556</v>
      </c>
      <c r="E7" s="3">
        <v>23174</v>
      </c>
    </row>
    <row r="8" spans="1:5" x14ac:dyDescent="0.25">
      <c r="A8" s="3" t="s">
        <v>5</v>
      </c>
      <c r="B8" s="4">
        <v>44107</v>
      </c>
      <c r="C8" s="3">
        <v>10432</v>
      </c>
      <c r="D8" s="3">
        <v>10258</v>
      </c>
      <c r="E8" s="3">
        <v>20690</v>
      </c>
    </row>
    <row r="9" spans="1:5" x14ac:dyDescent="0.25">
      <c r="A9" s="3" t="s">
        <v>6</v>
      </c>
      <c r="B9" s="4">
        <v>44108</v>
      </c>
      <c r="C9" s="3">
        <v>8191</v>
      </c>
      <c r="D9" s="3">
        <v>7506</v>
      </c>
      <c r="E9" s="3">
        <v>15697</v>
      </c>
    </row>
    <row r="10" spans="1:5" x14ac:dyDescent="0.25">
      <c r="A10" s="3" t="s">
        <v>7</v>
      </c>
      <c r="B10" s="4">
        <v>44109</v>
      </c>
      <c r="C10" s="3">
        <v>11938</v>
      </c>
      <c r="D10" s="3">
        <v>11891</v>
      </c>
      <c r="E10" s="3">
        <v>23829</v>
      </c>
    </row>
    <row r="11" spans="1:5" x14ac:dyDescent="0.25">
      <c r="A11" s="3" t="s">
        <v>8</v>
      </c>
      <c r="B11" s="4">
        <v>44110</v>
      </c>
      <c r="C11" s="3">
        <v>12491</v>
      </c>
      <c r="D11" s="3">
        <v>12292</v>
      </c>
      <c r="E11" s="3">
        <v>24783</v>
      </c>
    </row>
    <row r="12" spans="1:5" x14ac:dyDescent="0.25">
      <c r="A12" s="3" t="s">
        <v>9</v>
      </c>
      <c r="B12" s="4">
        <v>44111</v>
      </c>
      <c r="C12" s="3">
        <v>11964</v>
      </c>
      <c r="D12" s="3">
        <v>11743</v>
      </c>
      <c r="E12" s="3">
        <v>23707</v>
      </c>
    </row>
    <row r="13" spans="1:5" x14ac:dyDescent="0.25">
      <c r="A13" s="3" t="s">
        <v>3</v>
      </c>
      <c r="B13" s="4">
        <v>44112</v>
      </c>
      <c r="C13" s="3">
        <v>12079</v>
      </c>
      <c r="D13" s="3">
        <v>11865</v>
      </c>
      <c r="E13" s="3">
        <v>23944</v>
      </c>
    </row>
    <row r="14" spans="1:5" x14ac:dyDescent="0.25">
      <c r="A14" s="3" t="s">
        <v>4</v>
      </c>
      <c r="B14" s="4">
        <v>44113</v>
      </c>
      <c r="C14" s="3">
        <v>11856</v>
      </c>
      <c r="D14" s="3">
        <v>12130</v>
      </c>
      <c r="E14" s="3">
        <v>23986</v>
      </c>
    </row>
    <row r="15" spans="1:5" x14ac:dyDescent="0.25">
      <c r="A15" s="3" t="s">
        <v>5</v>
      </c>
      <c r="B15" s="4">
        <v>44114</v>
      </c>
      <c r="C15" s="3">
        <v>10839</v>
      </c>
      <c r="D15" s="3">
        <v>10397</v>
      </c>
      <c r="E15" s="3">
        <v>21236</v>
      </c>
    </row>
    <row r="16" spans="1:5" x14ac:dyDescent="0.25">
      <c r="A16" s="3" t="s">
        <v>6</v>
      </c>
      <c r="B16" s="4">
        <v>44115</v>
      </c>
      <c r="C16" s="3">
        <v>8282</v>
      </c>
      <c r="D16" s="3">
        <v>7693</v>
      </c>
      <c r="E16" s="3">
        <v>15975</v>
      </c>
    </row>
    <row r="17" spans="1:5" x14ac:dyDescent="0.25">
      <c r="A17" s="3" t="s">
        <v>7</v>
      </c>
      <c r="B17" s="4">
        <v>44116</v>
      </c>
      <c r="C17" s="3">
        <v>7986</v>
      </c>
      <c r="D17" s="3">
        <v>7856</v>
      </c>
      <c r="E17" s="3">
        <v>15842</v>
      </c>
    </row>
    <row r="18" spans="1:5" x14ac:dyDescent="0.25">
      <c r="A18" s="3" t="s">
        <v>8</v>
      </c>
      <c r="B18" s="4">
        <v>44117</v>
      </c>
      <c r="C18" s="3">
        <v>10630</v>
      </c>
      <c r="D18" s="3">
        <v>10572</v>
      </c>
      <c r="E18" s="3">
        <v>21202</v>
      </c>
    </row>
    <row r="19" spans="1:5" x14ac:dyDescent="0.25">
      <c r="A19" s="3" t="s">
        <v>9</v>
      </c>
      <c r="B19" s="4">
        <v>44118</v>
      </c>
      <c r="C19" s="3">
        <v>11930</v>
      </c>
      <c r="D19" s="3">
        <v>11821</v>
      </c>
      <c r="E19" s="3">
        <v>23751</v>
      </c>
    </row>
    <row r="20" spans="1:5" x14ac:dyDescent="0.25">
      <c r="A20" s="3" t="s">
        <v>3</v>
      </c>
      <c r="B20" s="4">
        <v>44119</v>
      </c>
      <c r="C20" s="3">
        <v>12038</v>
      </c>
      <c r="D20" s="3">
        <v>11990</v>
      </c>
      <c r="E20" s="3">
        <v>24028</v>
      </c>
    </row>
    <row r="21" spans="1:5" x14ac:dyDescent="0.25">
      <c r="A21" s="3" t="s">
        <v>4</v>
      </c>
      <c r="B21" s="4">
        <v>44120</v>
      </c>
      <c r="C21" s="3">
        <v>10257</v>
      </c>
      <c r="D21" s="3">
        <v>9868</v>
      </c>
      <c r="E21" s="3">
        <v>20125</v>
      </c>
    </row>
    <row r="22" spans="1:5" x14ac:dyDescent="0.25">
      <c r="A22" s="3" t="s">
        <v>5</v>
      </c>
      <c r="B22" s="4">
        <v>44121</v>
      </c>
      <c r="C22" s="3">
        <v>10550</v>
      </c>
      <c r="D22" s="3">
        <v>9242</v>
      </c>
      <c r="E22" s="3">
        <v>19792</v>
      </c>
    </row>
    <row r="23" spans="1:5" x14ac:dyDescent="0.25">
      <c r="A23" s="3" t="s">
        <v>6</v>
      </c>
      <c r="B23" s="4">
        <v>44122</v>
      </c>
      <c r="C23" s="3">
        <v>8087</v>
      </c>
      <c r="D23" s="3">
        <v>7651</v>
      </c>
      <c r="E23" s="3">
        <v>15738</v>
      </c>
    </row>
    <row r="24" spans="1:5" x14ac:dyDescent="0.25">
      <c r="A24" s="3" t="s">
        <v>7</v>
      </c>
      <c r="B24" s="4">
        <v>44123</v>
      </c>
      <c r="C24" s="3">
        <v>11116</v>
      </c>
      <c r="D24" s="3">
        <v>10996</v>
      </c>
      <c r="E24" s="3">
        <v>22112</v>
      </c>
    </row>
    <row r="25" spans="1:5" x14ac:dyDescent="0.25">
      <c r="A25" s="3" t="s">
        <v>8</v>
      </c>
      <c r="B25" s="4">
        <v>44124</v>
      </c>
      <c r="C25" s="3">
        <v>11084</v>
      </c>
      <c r="D25" s="3">
        <v>10984</v>
      </c>
      <c r="E25" s="3">
        <v>22068</v>
      </c>
    </row>
    <row r="26" spans="1:5" x14ac:dyDescent="0.25">
      <c r="A26" s="3" t="s">
        <v>9</v>
      </c>
      <c r="B26" s="4">
        <v>44125</v>
      </c>
      <c r="C26" s="3">
        <v>11371</v>
      </c>
      <c r="D26" s="3">
        <v>11127</v>
      </c>
      <c r="E26" s="3">
        <v>22498</v>
      </c>
    </row>
    <row r="27" spans="1:5" x14ac:dyDescent="0.25">
      <c r="A27" s="3" t="s">
        <v>3</v>
      </c>
      <c r="B27" s="4">
        <v>44126</v>
      </c>
      <c r="C27" s="3">
        <v>11349</v>
      </c>
      <c r="D27" s="3">
        <v>11243</v>
      </c>
      <c r="E27" s="3">
        <v>22592</v>
      </c>
    </row>
    <row r="28" spans="1:5" x14ac:dyDescent="0.25">
      <c r="A28" s="3" t="s">
        <v>4</v>
      </c>
      <c r="B28" s="4">
        <v>44127</v>
      </c>
      <c r="C28" s="3">
        <v>11837</v>
      </c>
      <c r="D28" s="3">
        <v>11889</v>
      </c>
      <c r="E28" s="3">
        <v>23726</v>
      </c>
    </row>
    <row r="29" spans="1:5" x14ac:dyDescent="0.25">
      <c r="A29" s="3" t="s">
        <v>5</v>
      </c>
      <c r="B29" s="4">
        <v>44128</v>
      </c>
      <c r="C29" s="3">
        <v>10151</v>
      </c>
      <c r="D29" s="3">
        <v>9658</v>
      </c>
      <c r="E29" s="3">
        <v>19809</v>
      </c>
    </row>
    <row r="30" spans="1:5" x14ac:dyDescent="0.25">
      <c r="A30" s="3" t="s">
        <v>6</v>
      </c>
      <c r="B30" s="4">
        <v>44129</v>
      </c>
      <c r="C30" s="3">
        <v>7625</v>
      </c>
      <c r="D30" s="3">
        <v>6998</v>
      </c>
      <c r="E30" s="3">
        <v>14623</v>
      </c>
    </row>
    <row r="31" spans="1:5" x14ac:dyDescent="0.25">
      <c r="A31" s="3" t="s">
        <v>7</v>
      </c>
      <c r="B31" s="4">
        <v>44130</v>
      </c>
      <c r="C31" s="3">
        <v>10405</v>
      </c>
      <c r="D31" s="3">
        <v>10310</v>
      </c>
      <c r="E31" s="3">
        <v>20715</v>
      </c>
    </row>
    <row r="32" spans="1:5" x14ac:dyDescent="0.25">
      <c r="A32" s="3" t="s">
        <v>8</v>
      </c>
      <c r="B32" s="4">
        <v>44131</v>
      </c>
      <c r="C32" s="3">
        <v>11453</v>
      </c>
      <c r="D32" s="3">
        <v>11241</v>
      </c>
      <c r="E32" s="3">
        <v>22694</v>
      </c>
    </row>
    <row r="33" spans="1:5" x14ac:dyDescent="0.25">
      <c r="A33" s="3" t="s">
        <v>9</v>
      </c>
      <c r="B33" s="4">
        <v>44132</v>
      </c>
      <c r="C33" s="3">
        <v>11034</v>
      </c>
      <c r="D33" s="3">
        <v>10931</v>
      </c>
      <c r="E33" s="3">
        <v>21965</v>
      </c>
    </row>
    <row r="34" spans="1:5" x14ac:dyDescent="0.25">
      <c r="A34" s="3" t="s">
        <v>3</v>
      </c>
      <c r="B34" s="4">
        <v>44133</v>
      </c>
      <c r="C34" s="3">
        <v>9912</v>
      </c>
      <c r="D34" s="3">
        <v>9696</v>
      </c>
      <c r="E34" s="3">
        <v>19608</v>
      </c>
    </row>
    <row r="35" spans="1:5" x14ac:dyDescent="0.25">
      <c r="A35" s="3" t="s">
        <v>4</v>
      </c>
      <c r="B35" s="4">
        <v>44134</v>
      </c>
      <c r="C35" s="3">
        <v>10520</v>
      </c>
      <c r="D35" s="3">
        <v>10408</v>
      </c>
      <c r="E35" s="3">
        <v>20928</v>
      </c>
    </row>
    <row r="36" spans="1:5" x14ac:dyDescent="0.25">
      <c r="A36" s="3" t="s">
        <v>5</v>
      </c>
      <c r="B36" s="4">
        <v>44135</v>
      </c>
      <c r="C36" s="3">
        <v>8666</v>
      </c>
      <c r="D36" s="3">
        <v>8716</v>
      </c>
      <c r="E36" s="3">
        <v>17382</v>
      </c>
    </row>
    <row r="37" spans="1:5" x14ac:dyDescent="0.25">
      <c r="A37" s="17" t="s">
        <v>13</v>
      </c>
      <c r="B37" s="17"/>
      <c r="C37" s="9">
        <f>SUM(C6:C36)</f>
        <v>329373</v>
      </c>
      <c r="D37" s="10">
        <f>SUM(D6:D36)</f>
        <v>322173</v>
      </c>
      <c r="E37" s="9">
        <f t="shared" ref="E37" si="0">SUM(E6:E36)</f>
        <v>651546</v>
      </c>
    </row>
    <row r="39" spans="1:5" x14ac:dyDescent="0.25">
      <c r="A39" s="18" t="s">
        <v>22</v>
      </c>
      <c r="B39" s="18"/>
      <c r="C39" s="18"/>
      <c r="D39" s="18"/>
      <c r="E39" s="13">
        <f>E37</f>
        <v>651546</v>
      </c>
    </row>
  </sheetData>
  <mergeCells count="3">
    <mergeCell ref="A4:E4"/>
    <mergeCell ref="A37:B37"/>
    <mergeCell ref="A39:D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50"/>
  <sheetViews>
    <sheetView workbookViewId="0"/>
  </sheetViews>
  <sheetFormatPr defaultColWidth="9.109375" defaultRowHeight="13.8" x14ac:dyDescent="0.25"/>
  <cols>
    <col min="1" max="1" width="13.6640625" style="2" bestFit="1" customWidth="1"/>
    <col min="2" max="2" width="12.109375" style="2" bestFit="1" customWidth="1"/>
    <col min="3" max="3" width="7.88671875" style="2" bestFit="1" customWidth="1"/>
    <col min="4" max="4" width="9" style="2" customWidth="1"/>
    <col min="5" max="5" width="13.6640625" style="2" bestFit="1" customWidth="1"/>
    <col min="6" max="9" width="9.109375" style="2"/>
    <col min="10" max="10" width="10.6640625" style="1" bestFit="1" customWidth="1"/>
    <col min="11" max="16384" width="9.109375" style="2"/>
  </cols>
  <sheetData>
    <row r="2" spans="1:5" x14ac:dyDescent="0.25">
      <c r="A2" s="15" t="s">
        <v>15</v>
      </c>
      <c r="B2" s="16"/>
      <c r="C2" s="16"/>
      <c r="D2" s="16"/>
      <c r="E2" s="16"/>
    </row>
    <row r="3" spans="1:5" x14ac:dyDescent="0.25">
      <c r="A3" s="11" t="s">
        <v>10</v>
      </c>
      <c r="B3" s="11" t="s">
        <v>11</v>
      </c>
      <c r="C3" s="11" t="s">
        <v>1</v>
      </c>
      <c r="D3" s="11" t="s">
        <v>0</v>
      </c>
      <c r="E3" s="11" t="s">
        <v>2</v>
      </c>
    </row>
    <row r="4" spans="1:5" x14ac:dyDescent="0.25">
      <c r="A4" s="3" t="str">
        <f t="shared" ref="A4:A25" si="0">CHOOSE(WEEKDAY(B4),"Sunday","Monday","Tuesday","Wednesday","Thursday","Friday","Saturday")</f>
        <v>Thursday</v>
      </c>
      <c r="B4" s="4">
        <v>44105</v>
      </c>
      <c r="C4" s="3">
        <v>11682</v>
      </c>
      <c r="D4" s="3">
        <v>11645</v>
      </c>
      <c r="E4" s="3">
        <f t="shared" ref="E4:E25" si="1">C4+D4</f>
        <v>23327</v>
      </c>
    </row>
    <row r="5" spans="1:5" x14ac:dyDescent="0.25">
      <c r="A5" s="3" t="str">
        <f t="shared" si="0"/>
        <v>Friday</v>
      </c>
      <c r="B5" s="4">
        <v>44106</v>
      </c>
      <c r="C5" s="3">
        <v>11618</v>
      </c>
      <c r="D5" s="3">
        <v>11556</v>
      </c>
      <c r="E5" s="3">
        <f t="shared" si="1"/>
        <v>23174</v>
      </c>
    </row>
    <row r="6" spans="1:5" x14ac:dyDescent="0.25">
      <c r="A6" s="3" t="str">
        <f t="shared" si="0"/>
        <v>Monday</v>
      </c>
      <c r="B6" s="4">
        <v>44109</v>
      </c>
      <c r="C6" s="3">
        <v>11938</v>
      </c>
      <c r="D6" s="3">
        <v>11891</v>
      </c>
      <c r="E6" s="3">
        <f t="shared" si="1"/>
        <v>23829</v>
      </c>
    </row>
    <row r="7" spans="1:5" x14ac:dyDescent="0.25">
      <c r="A7" s="3" t="str">
        <f t="shared" si="0"/>
        <v>Tuesday</v>
      </c>
      <c r="B7" s="4">
        <v>44110</v>
      </c>
      <c r="C7" s="3">
        <v>12491</v>
      </c>
      <c r="D7" s="3">
        <v>12292</v>
      </c>
      <c r="E7" s="3">
        <f t="shared" si="1"/>
        <v>24783</v>
      </c>
    </row>
    <row r="8" spans="1:5" x14ac:dyDescent="0.25">
      <c r="A8" s="3" t="str">
        <f t="shared" si="0"/>
        <v>Wednesday</v>
      </c>
      <c r="B8" s="4">
        <v>44111</v>
      </c>
      <c r="C8" s="3">
        <v>11964</v>
      </c>
      <c r="D8" s="3">
        <v>11743</v>
      </c>
      <c r="E8" s="3">
        <f t="shared" si="1"/>
        <v>23707</v>
      </c>
    </row>
    <row r="9" spans="1:5" x14ac:dyDescent="0.25">
      <c r="A9" s="3" t="str">
        <f t="shared" si="0"/>
        <v>Thursday</v>
      </c>
      <c r="B9" s="4">
        <v>44112</v>
      </c>
      <c r="C9" s="3">
        <v>12079</v>
      </c>
      <c r="D9" s="3">
        <v>11865</v>
      </c>
      <c r="E9" s="3">
        <f t="shared" si="1"/>
        <v>23944</v>
      </c>
    </row>
    <row r="10" spans="1:5" x14ac:dyDescent="0.25">
      <c r="A10" s="3" t="str">
        <f t="shared" si="0"/>
        <v>Friday</v>
      </c>
      <c r="B10" s="4">
        <v>44113</v>
      </c>
      <c r="C10" s="3">
        <v>11856</v>
      </c>
      <c r="D10" s="3">
        <v>12130</v>
      </c>
      <c r="E10" s="3">
        <f t="shared" si="1"/>
        <v>23986</v>
      </c>
    </row>
    <row r="11" spans="1:5" x14ac:dyDescent="0.25">
      <c r="A11" s="3" t="str">
        <f t="shared" si="0"/>
        <v>Monday</v>
      </c>
      <c r="B11" s="4">
        <v>44116</v>
      </c>
      <c r="C11" s="3">
        <v>7986</v>
      </c>
      <c r="D11" s="3">
        <v>7856</v>
      </c>
      <c r="E11" s="3">
        <f t="shared" si="1"/>
        <v>15842</v>
      </c>
    </row>
    <row r="12" spans="1:5" x14ac:dyDescent="0.25">
      <c r="A12" s="3" t="str">
        <f t="shared" si="0"/>
        <v>Tuesday</v>
      </c>
      <c r="B12" s="4">
        <v>44117</v>
      </c>
      <c r="C12" s="3">
        <v>10630</v>
      </c>
      <c r="D12" s="3">
        <v>10572</v>
      </c>
      <c r="E12" s="3">
        <f t="shared" si="1"/>
        <v>21202</v>
      </c>
    </row>
    <row r="13" spans="1:5" x14ac:dyDescent="0.25">
      <c r="A13" s="3" t="str">
        <f t="shared" si="0"/>
        <v>Wednesday</v>
      </c>
      <c r="B13" s="4">
        <v>44118</v>
      </c>
      <c r="C13" s="3">
        <v>11930</v>
      </c>
      <c r="D13" s="3">
        <v>11821</v>
      </c>
      <c r="E13" s="3">
        <f t="shared" si="1"/>
        <v>23751</v>
      </c>
    </row>
    <row r="14" spans="1:5" x14ac:dyDescent="0.25">
      <c r="A14" s="3" t="str">
        <f t="shared" si="0"/>
        <v>Thursday</v>
      </c>
      <c r="B14" s="4">
        <v>44119</v>
      </c>
      <c r="C14" s="3">
        <v>12038</v>
      </c>
      <c r="D14" s="3">
        <v>11990</v>
      </c>
      <c r="E14" s="3">
        <f t="shared" si="1"/>
        <v>24028</v>
      </c>
    </row>
    <row r="15" spans="1:5" x14ac:dyDescent="0.25">
      <c r="A15" s="3" t="str">
        <f t="shared" si="0"/>
        <v>Friday</v>
      </c>
      <c r="B15" s="4">
        <v>44120</v>
      </c>
      <c r="C15" s="3">
        <v>10257</v>
      </c>
      <c r="D15" s="3">
        <v>9868</v>
      </c>
      <c r="E15" s="3">
        <f t="shared" si="1"/>
        <v>20125</v>
      </c>
    </row>
    <row r="16" spans="1:5" x14ac:dyDescent="0.25">
      <c r="A16" s="3" t="str">
        <f t="shared" si="0"/>
        <v>Monday</v>
      </c>
      <c r="B16" s="4">
        <v>44123</v>
      </c>
      <c r="C16" s="3">
        <v>11116</v>
      </c>
      <c r="D16" s="3">
        <v>10996</v>
      </c>
      <c r="E16" s="3">
        <f t="shared" si="1"/>
        <v>22112</v>
      </c>
    </row>
    <row r="17" spans="1:5" x14ac:dyDescent="0.25">
      <c r="A17" s="3" t="str">
        <f t="shared" si="0"/>
        <v>Tuesday</v>
      </c>
      <c r="B17" s="4">
        <v>44124</v>
      </c>
      <c r="C17" s="3">
        <v>11084</v>
      </c>
      <c r="D17" s="3">
        <v>10984</v>
      </c>
      <c r="E17" s="3">
        <f t="shared" si="1"/>
        <v>22068</v>
      </c>
    </row>
    <row r="18" spans="1:5" x14ac:dyDescent="0.25">
      <c r="A18" s="3" t="str">
        <f t="shared" si="0"/>
        <v>Wednesday</v>
      </c>
      <c r="B18" s="4">
        <v>44125</v>
      </c>
      <c r="C18" s="3">
        <v>11371</v>
      </c>
      <c r="D18" s="3">
        <v>11127</v>
      </c>
      <c r="E18" s="3">
        <f t="shared" si="1"/>
        <v>22498</v>
      </c>
    </row>
    <row r="19" spans="1:5" x14ac:dyDescent="0.25">
      <c r="A19" s="3" t="str">
        <f t="shared" si="0"/>
        <v>Thursday</v>
      </c>
      <c r="B19" s="4">
        <v>44126</v>
      </c>
      <c r="C19" s="3">
        <v>11349</v>
      </c>
      <c r="D19" s="3">
        <v>11243</v>
      </c>
      <c r="E19" s="3">
        <f t="shared" si="1"/>
        <v>22592</v>
      </c>
    </row>
    <row r="20" spans="1:5" x14ac:dyDescent="0.25">
      <c r="A20" s="3" t="str">
        <f t="shared" si="0"/>
        <v>Friday</v>
      </c>
      <c r="B20" s="4">
        <v>44127</v>
      </c>
      <c r="C20" s="3">
        <v>11837</v>
      </c>
      <c r="D20" s="3">
        <v>11889</v>
      </c>
      <c r="E20" s="3">
        <f t="shared" si="1"/>
        <v>23726</v>
      </c>
    </row>
    <row r="21" spans="1:5" x14ac:dyDescent="0.25">
      <c r="A21" s="3" t="str">
        <f t="shared" si="0"/>
        <v>Monday</v>
      </c>
      <c r="B21" s="4">
        <v>44130</v>
      </c>
      <c r="C21" s="3">
        <v>10405</v>
      </c>
      <c r="D21" s="3">
        <v>10310</v>
      </c>
      <c r="E21" s="3">
        <f t="shared" si="1"/>
        <v>20715</v>
      </c>
    </row>
    <row r="22" spans="1:5" x14ac:dyDescent="0.25">
      <c r="A22" s="3" t="str">
        <f t="shared" si="0"/>
        <v>Tuesday</v>
      </c>
      <c r="B22" s="4">
        <v>44131</v>
      </c>
      <c r="C22" s="3">
        <v>11453</v>
      </c>
      <c r="D22" s="3">
        <v>11241</v>
      </c>
      <c r="E22" s="3">
        <f t="shared" si="1"/>
        <v>22694</v>
      </c>
    </row>
    <row r="23" spans="1:5" x14ac:dyDescent="0.25">
      <c r="A23" s="3" t="str">
        <f t="shared" si="0"/>
        <v>Wednesday</v>
      </c>
      <c r="B23" s="4">
        <v>44132</v>
      </c>
      <c r="C23" s="3">
        <v>11034</v>
      </c>
      <c r="D23" s="3">
        <v>10931</v>
      </c>
      <c r="E23" s="3">
        <f t="shared" si="1"/>
        <v>21965</v>
      </c>
    </row>
    <row r="24" spans="1:5" x14ac:dyDescent="0.25">
      <c r="A24" s="3" t="str">
        <f t="shared" si="0"/>
        <v>Thursday</v>
      </c>
      <c r="B24" s="4">
        <v>44133</v>
      </c>
      <c r="C24" s="3">
        <v>9912</v>
      </c>
      <c r="D24" s="3">
        <v>9696</v>
      </c>
      <c r="E24" s="3">
        <f t="shared" si="1"/>
        <v>19608</v>
      </c>
    </row>
    <row r="25" spans="1:5" x14ac:dyDescent="0.25">
      <c r="A25" s="3" t="str">
        <f t="shared" si="0"/>
        <v>Friday</v>
      </c>
      <c r="B25" s="4">
        <v>44134</v>
      </c>
      <c r="C25" s="3">
        <v>10520</v>
      </c>
      <c r="D25" s="3">
        <v>10408</v>
      </c>
      <c r="E25" s="3">
        <f t="shared" si="1"/>
        <v>20928</v>
      </c>
    </row>
    <row r="26" spans="1:5" x14ac:dyDescent="0.25">
      <c r="A26" s="19" t="s">
        <v>14</v>
      </c>
      <c r="B26" s="20"/>
      <c r="C26" s="13">
        <f>SUM(C4:C25)</f>
        <v>246550</v>
      </c>
      <c r="D26" s="13">
        <f>SUM(D4:D25)</f>
        <v>244054</v>
      </c>
      <c r="E26" s="13">
        <f>SUM(E4:E25)</f>
        <v>490604</v>
      </c>
    </row>
    <row r="28" spans="1:5" x14ac:dyDescent="0.25">
      <c r="A28" s="18" t="s">
        <v>16</v>
      </c>
      <c r="B28" s="18"/>
      <c r="C28" s="18"/>
      <c r="D28" s="18"/>
      <c r="E28" s="13">
        <f>E26</f>
        <v>490604</v>
      </c>
    </row>
    <row r="29" spans="1:5" x14ac:dyDescent="0.25">
      <c r="A29" s="18" t="s">
        <v>17</v>
      </c>
      <c r="B29" s="18"/>
      <c r="C29" s="18"/>
      <c r="D29" s="18"/>
      <c r="E29" s="14">
        <f>AVERAGE(E4:E25)</f>
        <v>22300.18181818182</v>
      </c>
    </row>
    <row r="30" spans="1:5" x14ac:dyDescent="0.25">
      <c r="A30" s="21"/>
      <c r="B30" s="21"/>
      <c r="C30" s="21"/>
      <c r="D30" s="21"/>
      <c r="E30" s="22"/>
    </row>
    <row r="31" spans="1:5" x14ac:dyDescent="0.25">
      <c r="A31" s="21"/>
      <c r="B31" s="21"/>
      <c r="C31" s="21"/>
      <c r="D31" s="21"/>
      <c r="E31" s="22"/>
    </row>
    <row r="32" spans="1:5" x14ac:dyDescent="0.25">
      <c r="A32" s="21"/>
      <c r="B32" s="21"/>
      <c r="C32" s="21"/>
      <c r="D32" s="21"/>
      <c r="E32" s="22"/>
    </row>
    <row r="33" spans="1:10" x14ac:dyDescent="0.25">
      <c r="E33" s="8"/>
    </row>
    <row r="34" spans="1:10" x14ac:dyDescent="0.25">
      <c r="A34" s="16" t="s">
        <v>18</v>
      </c>
      <c r="B34" s="16"/>
      <c r="C34" s="16"/>
      <c r="D34" s="16"/>
      <c r="E34" s="16"/>
    </row>
    <row r="35" spans="1:10" s="5" customFormat="1" ht="27.6" x14ac:dyDescent="0.3">
      <c r="A35" s="6" t="s">
        <v>10</v>
      </c>
      <c r="B35" s="6" t="s">
        <v>11</v>
      </c>
      <c r="C35" s="6" t="s">
        <v>1</v>
      </c>
      <c r="D35" s="6" t="s">
        <v>0</v>
      </c>
      <c r="E35" s="7" t="s">
        <v>12</v>
      </c>
      <c r="J35" s="12"/>
    </row>
    <row r="36" spans="1:10" x14ac:dyDescent="0.25">
      <c r="A36" s="3" t="str">
        <f t="shared" ref="A36:A44" si="2">CHOOSE(WEEKDAY(B36),"Sunday","Monday","Tuesday","Wednesday","Thursday","Friday","Saturday")</f>
        <v>Saturday</v>
      </c>
      <c r="B36" s="4">
        <v>44107</v>
      </c>
      <c r="C36" s="3">
        <v>10432</v>
      </c>
      <c r="D36" s="3">
        <v>10258</v>
      </c>
      <c r="E36" s="3">
        <f t="shared" ref="E36:E44" si="3">C36+D36</f>
        <v>20690</v>
      </c>
    </row>
    <row r="37" spans="1:10" x14ac:dyDescent="0.25">
      <c r="A37" s="3" t="str">
        <f t="shared" si="2"/>
        <v>Sunday</v>
      </c>
      <c r="B37" s="4">
        <v>44108</v>
      </c>
      <c r="C37" s="3">
        <v>8191</v>
      </c>
      <c r="D37" s="3">
        <v>7506</v>
      </c>
      <c r="E37" s="3">
        <f t="shared" si="3"/>
        <v>15697</v>
      </c>
    </row>
    <row r="38" spans="1:10" x14ac:dyDescent="0.25">
      <c r="A38" s="3" t="str">
        <f t="shared" si="2"/>
        <v>Saturday</v>
      </c>
      <c r="B38" s="4">
        <v>44114</v>
      </c>
      <c r="C38" s="3">
        <v>10839</v>
      </c>
      <c r="D38" s="3">
        <v>10397</v>
      </c>
      <c r="E38" s="3">
        <f t="shared" si="3"/>
        <v>21236</v>
      </c>
    </row>
    <row r="39" spans="1:10" x14ac:dyDescent="0.25">
      <c r="A39" s="3" t="str">
        <f t="shared" si="2"/>
        <v>Sunday</v>
      </c>
      <c r="B39" s="4">
        <v>44115</v>
      </c>
      <c r="C39" s="3">
        <v>8282</v>
      </c>
      <c r="D39" s="3">
        <v>7693</v>
      </c>
      <c r="E39" s="3">
        <f t="shared" si="3"/>
        <v>15975</v>
      </c>
    </row>
    <row r="40" spans="1:10" x14ac:dyDescent="0.25">
      <c r="A40" s="3" t="str">
        <f t="shared" si="2"/>
        <v>Saturday</v>
      </c>
      <c r="B40" s="4">
        <v>44121</v>
      </c>
      <c r="C40" s="3">
        <v>10550</v>
      </c>
      <c r="D40" s="3">
        <v>9242</v>
      </c>
      <c r="E40" s="3">
        <f t="shared" si="3"/>
        <v>19792</v>
      </c>
    </row>
    <row r="41" spans="1:10" x14ac:dyDescent="0.25">
      <c r="A41" s="3" t="str">
        <f t="shared" si="2"/>
        <v>Sunday</v>
      </c>
      <c r="B41" s="4">
        <v>44122</v>
      </c>
      <c r="C41" s="3">
        <v>8087</v>
      </c>
      <c r="D41" s="3">
        <v>7651</v>
      </c>
      <c r="E41" s="3">
        <f t="shared" si="3"/>
        <v>15738</v>
      </c>
    </row>
    <row r="42" spans="1:10" x14ac:dyDescent="0.25">
      <c r="A42" s="3" t="str">
        <f t="shared" si="2"/>
        <v>Saturday</v>
      </c>
      <c r="B42" s="4">
        <v>44128</v>
      </c>
      <c r="C42" s="3">
        <v>10151</v>
      </c>
      <c r="D42" s="3">
        <v>9658</v>
      </c>
      <c r="E42" s="3">
        <f t="shared" si="3"/>
        <v>19809</v>
      </c>
    </row>
    <row r="43" spans="1:10" x14ac:dyDescent="0.25">
      <c r="A43" s="3" t="str">
        <f t="shared" si="2"/>
        <v>Sunday</v>
      </c>
      <c r="B43" s="4">
        <v>44129</v>
      </c>
      <c r="C43" s="3">
        <v>7625</v>
      </c>
      <c r="D43" s="3">
        <v>6998</v>
      </c>
      <c r="E43" s="3">
        <f t="shared" si="3"/>
        <v>14623</v>
      </c>
    </row>
    <row r="44" spans="1:10" x14ac:dyDescent="0.25">
      <c r="A44" s="3" t="str">
        <f t="shared" si="2"/>
        <v>Saturday</v>
      </c>
      <c r="B44" s="4">
        <v>44135</v>
      </c>
      <c r="C44" s="3">
        <v>8666</v>
      </c>
      <c r="D44" s="3">
        <v>8716</v>
      </c>
      <c r="E44" s="3">
        <f t="shared" si="3"/>
        <v>17382</v>
      </c>
    </row>
    <row r="45" spans="1:10" x14ac:dyDescent="0.25">
      <c r="A45" s="19" t="s">
        <v>14</v>
      </c>
      <c r="B45" s="20"/>
      <c r="C45" s="13">
        <f>SUM(C36:C44)</f>
        <v>82823</v>
      </c>
      <c r="D45" s="13">
        <f>SUM(D36:D44)</f>
        <v>78119</v>
      </c>
      <c r="E45" s="13">
        <f>SUM(E36:E44)</f>
        <v>160942</v>
      </c>
    </row>
    <row r="47" spans="1:10" x14ac:dyDescent="0.25">
      <c r="A47" s="18" t="s">
        <v>19</v>
      </c>
      <c r="B47" s="18"/>
      <c r="C47" s="18"/>
      <c r="D47" s="18"/>
      <c r="E47" s="13">
        <f>E45</f>
        <v>160942</v>
      </c>
    </row>
    <row r="49" spans="1:5" x14ac:dyDescent="0.25">
      <c r="A49" s="18" t="s">
        <v>20</v>
      </c>
      <c r="B49" s="18"/>
      <c r="C49" s="18"/>
      <c r="D49" s="18"/>
      <c r="E49" s="14">
        <f>AVERAGE(E36,E38,E40,E42,E44)</f>
        <v>19781.8</v>
      </c>
    </row>
    <row r="50" spans="1:5" x14ac:dyDescent="0.25">
      <c r="A50" s="18" t="s">
        <v>21</v>
      </c>
      <c r="B50" s="18"/>
      <c r="C50" s="18"/>
      <c r="D50" s="18"/>
      <c r="E50" s="14">
        <f>AVERAGE(E37,E39,E41,E43)</f>
        <v>15508.25</v>
      </c>
    </row>
  </sheetData>
  <mergeCells count="9">
    <mergeCell ref="A47:D47"/>
    <mergeCell ref="A49:D49"/>
    <mergeCell ref="A50:D50"/>
    <mergeCell ref="A2:E2"/>
    <mergeCell ref="A26:B26"/>
    <mergeCell ref="A28:D28"/>
    <mergeCell ref="A29:D29"/>
    <mergeCell ref="A34:E34"/>
    <mergeCell ref="A45:B4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9" ma:contentTypeDescription="Create a new document." ma:contentTypeScope="" ma:versionID="08fbae0c7f9a8e2444046f9c4a1f6255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eee80be5f8846f68db7a88c41e92a792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0E5767B-2613-4BF2-9B66-022A373B2E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A53099-C36F-4031-B0A2-F32CB0920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369FC4-8F69-45F4-BE2A-14832B3676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James-Young, Jean</dc:creator>
  <cp:lastModifiedBy>Lucy Santana</cp:lastModifiedBy>
  <dcterms:created xsi:type="dcterms:W3CDTF">2020-11-04T18:22:53Z</dcterms:created>
  <dcterms:modified xsi:type="dcterms:W3CDTF">2026-04-07T21:19:47Z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