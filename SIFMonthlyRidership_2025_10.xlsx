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30686BB3-33FE-461F-B521-333648E5F9CF}" xr6:coauthVersionLast="47" xr6:coauthVersionMax="47" xr10:uidLastSave="{00000000-0000-0000-0000-000000000000}"/>
  <bookViews>
    <workbookView xWindow="-108" yWindow="-108" windowWidth="23256" windowHeight="13896" xr2:uid="{9F5E3029-B0F2-4CE5-AFC5-8807C21173B6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39" i="3"/>
  <c r="E40" i="3"/>
  <c r="E41" i="3"/>
  <c r="E42" i="3"/>
  <c r="E43" i="3"/>
  <c r="E44" i="3"/>
  <c r="E37" i="3"/>
  <c r="E45" i="3" s="1"/>
  <c r="E47" i="3" s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8" i="1"/>
  <c r="E7" i="1"/>
  <c r="E25" i="3"/>
  <c r="D28" i="3"/>
  <c r="D45" i="3"/>
  <c r="E23" i="3"/>
  <c r="E21" i="3"/>
  <c r="E18" i="3"/>
  <c r="E17" i="3"/>
  <c r="E16" i="3"/>
  <c r="E15" i="3"/>
  <c r="E10" i="3"/>
  <c r="E8" i="3"/>
  <c r="D38" i="1"/>
  <c r="C38" i="1"/>
  <c r="E27" i="3"/>
  <c r="E14" i="3"/>
  <c r="E13" i="3"/>
  <c r="E12" i="3"/>
  <c r="E19" i="3"/>
  <c r="E24" i="3"/>
  <c r="E26" i="3"/>
  <c r="E11" i="3"/>
  <c r="E6" i="3"/>
  <c r="E7" i="3"/>
  <c r="E5" i="3"/>
  <c r="E9" i="3"/>
  <c r="E20" i="3"/>
  <c r="C45" i="3"/>
  <c r="E22" i="3"/>
  <c r="C28" i="3"/>
  <c r="E50" i="3" l="1"/>
  <c r="E31" i="3"/>
  <c r="E28" i="3"/>
  <c r="E30" i="3" s="1"/>
  <c r="E49" i="3"/>
  <c r="E38" i="1"/>
  <c r="E40" i="1" s="1"/>
</calcChain>
</file>

<file path=xl/sharedStrings.xml><?xml version="1.0" encoding="utf-8"?>
<sst xmlns="http://schemas.openxmlformats.org/spreadsheetml/2006/main" count="110" uniqueCount="31">
  <si>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</si>
  <si>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</si>
  <si>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</si>
  <si>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</si>
  <si>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</si>
  <si>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</si>
  <si>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</si>
  <si>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</si>
  <si>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</si>
  <si>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</si>
  <si>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</si>
  <si>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</si>
  <si>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</si>
  <si>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</si>
  <si>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</si>
  <si>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.</t>
  </si>
  <si>
    <t>SUN</t>
  </si>
  <si>
    <t>Italian Heritage/Indigenous Peoples’ Day</t>
  </si>
  <si>
    <t>Halloween</t>
  </si>
  <si>
    <t>SAT</t>
  </si>
  <si>
    <t>Yom Kippur</t>
  </si>
  <si>
    <t>Simchas Torah</t>
  </si>
  <si>
    <t>Succoth</t>
  </si>
  <si>
    <t xml:space="preserve">       October 2025 Staten Island Ferry Ridership</t>
  </si>
  <si>
    <t xml:space="preserve">October 2025:  WEEKDAY TOTALS </t>
  </si>
  <si>
    <t xml:space="preserve">Total Weekday Pax Count October 2025: </t>
  </si>
  <si>
    <t xml:space="preserve">October 2025:  WEEKEND TOTALS </t>
  </si>
  <si>
    <t xml:space="preserve">Total Weekend Pax Count October 2025: </t>
  </si>
  <si>
    <t>Shemini Atzereth</t>
  </si>
  <si>
    <t>Diwali</t>
  </si>
  <si>
    <t>Nor'easter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</si>
</sst>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0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3" fontId="8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/>
    </xf>
    <xf numFmtId="41" fontId="5" fillId="2" borderId="10" xfId="0" applyNumberFormat="1" applyFont="1" applyFill="1" applyBorder="1" applyAlignment="1">
      <alignment horizontal="center"/>
    </xf>
    <xf numFmtId="14" fontId="5" fillId="0" borderId="0" xfId="0" applyNumberFormat="1" applyFont="1" applyAlignment="1">
      <alignment horizontal="right"/>
    </xf>
    <xf numFmtId="41" fontId="5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center"/>
    </xf>
    <xf numFmtId="41" fontId="5" fillId="2" borderId="13" xfId="0" applyNumberFormat="1" applyFont="1" applyFill="1" applyBorder="1" applyAlignment="1">
      <alignment horizontal="center"/>
    </xf>
    <xf numFmtId="41" fontId="5" fillId="2" borderId="1" xfId="0" applyNumberFormat="1" applyFont="1" applyFill="1" applyBorder="1" applyAlignment="1">
      <alignment horizontal="center"/>
    </xf>
    <xf numFmtId="41" fontId="4" fillId="0" borderId="0" xfId="0" applyNumberFormat="1" applyFont="1" applyAlignment="1">
      <alignment horizontal="center"/>
    </xf>
    <xf numFmtId="37" fontId="5" fillId="2" borderId="1" xfId="0" applyNumberFormat="1" applyFont="1" applyFill="1" applyBorder="1" applyAlignment="1">
      <alignment horizontal="right"/>
    </xf>
    <xf numFmtId="14" fontId="4" fillId="0" borderId="1" xfId="0" applyNumberFormat="1" applyFont="1" applyBorder="1"/>
    <xf numFmtId="37" fontId="5" fillId="2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right"/>
    </xf>
    <xf numFmtId="14" fontId="4" fillId="0" borderId="1" xfId="0" applyNumberFormat="1" applyFont="1" applyBorder="1" applyAlignment="1">
      <alignment horizontal="center"/>
    </xf>
    <xf numFmtId="0" fontId="9" fillId="0" borderId="0" xfId="0" applyFont="1"/>
    <xf numFmtId="3" fontId="8" fillId="0" borderId="6" xfId="0" applyNumberFormat="1" applyFont="1" applyBorder="1" applyAlignment="1">
      <alignment horizontal="center"/>
    </xf>
    <xf numFmtId="17" fontId="6" fillId="4" borderId="3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7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top" wrapText="1"/>
    </xf>
    <xf numFmtId="0" fontId="7" fillId="3" borderId="7" xfId="0" applyFont="1" applyFill="1" applyBorder="1" applyAlignment="1">
      <alignment horizontal="center" vertical="top" wrapText="1"/>
    </xf>
    <xf numFmtId="14" fontId="5" fillId="2" borderId="8" xfId="0" applyNumberFormat="1" applyFont="1" applyFill="1" applyBorder="1" applyAlignment="1">
      <alignment horizontal="center"/>
    </xf>
    <xf numFmtId="14" fontId="5" fillId="2" borderId="9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41" fontId="5" fillId="2" borderId="1" xfId="0" applyNumberFormat="1" applyFont="1" applyFill="1" applyBorder="1" applyAlignment="1">
      <alignment horizontal="right"/>
    </xf>
    <xf numFmtId="0" fontId="7" fillId="3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41" fontId="5" fillId="2" borderId="0" xfId="0" applyNumberFormat="1" applyFont="1" applyFill="1" applyBorder="1" applyAlignment="1">
      <alignment horizontal="right"/>
    </xf>
    <xf numFmtId="37" fontId="5" fillId="2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190500</xdr:colOff>
      <xdr:row>2</xdr:row>
      <xdr:rowOff>133350</xdr:rowOff>
    </xdr:to>
    <xdr:pic>
      <xdr:nvPicPr>
        <xdr:cNvPr id="8192" name="Picture 31" descr="DOT%20Logo_green">
          <a:extLst>
            <a:ext uri="{FF2B5EF4-FFF2-40B4-BE49-F238E27FC236}">
              <a16:creationId xmlns:a16="http://schemas.microsoft.com/office/drawing/2014/main" id="{B7588BFB-F6BB-BD36-0333-9E4900460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DEEB-7FA6-453A-9FF7-9395B7F27AEC}">
  <dimension ref="A1:F40"/>
  <sheetViews>
    <sheetView tabSelected="1" zoomScaleNormal="100" workbookViewId="0">
      <selection activeCell="A5" sqref="A5:A6"/>
    </sheetView>
  </sheetViews>
  <sheetFormatPr defaultColWidth="9.109375" defaultRowHeight="14.4" x14ac:dyDescent="0.3"/>
  <cols>
    <col min="1" max="1" width="9.109375" style="4" customWidth="1"/>
    <col min="2" max="2" width="13.44140625" style="4" customWidth="1"/>
    <col min="3" max="4" width="12.33203125" style="4" customWidth="1"/>
    <col min="5" max="5" width="15.5546875" style="4" customWidth="1"/>
    <col min="6" max="6" width="40.6640625" style="4" customWidth="1"/>
    <col min="7" max="10" width="9.109375" style="1"/>
    <col min="11" max="11" width="9.6640625" style="1" bestFit="1" customWidth="1"/>
    <col min="12" max="16384" width="9.109375" style="1"/>
  </cols>
  <sheetData>
    <row r="1" spans="1:6" ht="12.75" customHeight="1" x14ac:dyDescent="0.3"/>
    <row r="2" spans="1:6" x14ac:dyDescent="0.3">
      <c r="A2" s="5"/>
      <c r="B2" s="5" t="s">
        <v>23</v>
      </c>
      <c r="C2" s="5"/>
      <c r="D2" s="5"/>
      <c r="E2" s="5"/>
    </row>
    <row r="3" spans="1:6" ht="15" customHeight="1" thickBot="1" x14ac:dyDescent="0.35"/>
    <row r="4" spans="1:6" x14ac:dyDescent="0.3">
      <c r="A4" s="23">
        <v>45931</v>
      </c>
      <c r="B4" s="24"/>
      <c r="C4" s="24"/>
      <c r="D4" s="24"/>
      <c r="E4" s="24"/>
    </row>
    <row r="5" spans="1:6" x14ac:dyDescent="0.3">
      <c r="A5" s="27" t="s">
        <v>0</v>
      </c>
      <c r="B5" s="29" t="s">
        <v>1</v>
      </c>
      <c r="C5" s="31" t="s">
        <v>3</v>
      </c>
      <c r="D5" s="29" t="s">
        <v>4</v>
      </c>
      <c r="E5" s="32" t="s">
        <v>9</v>
      </c>
    </row>
    <row r="6" spans="1:6" x14ac:dyDescent="0.3">
      <c r="A6" s="28"/>
      <c r="B6" s="30"/>
      <c r="C6" s="30"/>
      <c r="D6" s="30"/>
      <c r="E6" s="33"/>
    </row>
    <row r="7" spans="1:6" x14ac:dyDescent="0.3">
      <c r="A7" s="2" t="s">
        <v>11</v>
      </c>
      <c r="B7" s="20">
        <v>45931</v>
      </c>
      <c r="C7" s="6">
        <v>24771</v>
      </c>
      <c r="D7" s="6">
        <v>24422</v>
      </c>
      <c r="E7" s="3">
        <f>SUM(C7:D7)</f>
        <v>49193</v>
      </c>
      <c r="F7" s="7" t="s">
        <v>20</v>
      </c>
    </row>
    <row r="8" spans="1:6" x14ac:dyDescent="0.3">
      <c r="A8" s="2" t="s">
        <v>13</v>
      </c>
      <c r="B8" s="20">
        <v>45932</v>
      </c>
      <c r="C8" s="6">
        <v>24263</v>
      </c>
      <c r="D8" s="6">
        <v>24063</v>
      </c>
      <c r="E8" s="3">
        <f>SUM(C8:D8)</f>
        <v>48326</v>
      </c>
      <c r="F8" s="7" t="s">
        <v>20</v>
      </c>
    </row>
    <row r="9" spans="1:6" x14ac:dyDescent="0.3">
      <c r="A9" s="2" t="s">
        <v>12</v>
      </c>
      <c r="B9" s="20">
        <v>45933</v>
      </c>
      <c r="C9" s="6">
        <v>26513</v>
      </c>
      <c r="D9" s="6">
        <v>26542</v>
      </c>
      <c r="E9" s="3">
        <f t="shared" ref="E9:E37" si="0">SUM(C9:D9)</f>
        <v>53055</v>
      </c>
      <c r="F9" s="7"/>
    </row>
    <row r="10" spans="1:6" x14ac:dyDescent="0.3">
      <c r="A10" s="2" t="s">
        <v>19</v>
      </c>
      <c r="B10" s="20">
        <v>45934</v>
      </c>
      <c r="C10" s="3">
        <v>25414</v>
      </c>
      <c r="D10" s="3">
        <v>24718</v>
      </c>
      <c r="E10" s="3">
        <f t="shared" si="0"/>
        <v>50132</v>
      </c>
      <c r="F10" s="7"/>
    </row>
    <row r="11" spans="1:6" x14ac:dyDescent="0.3">
      <c r="A11" s="2" t="s">
        <v>16</v>
      </c>
      <c r="B11" s="20">
        <v>45935</v>
      </c>
      <c r="C11" s="6">
        <v>21701</v>
      </c>
      <c r="D11" s="6">
        <v>20250</v>
      </c>
      <c r="E11" s="3">
        <f t="shared" si="0"/>
        <v>41951</v>
      </c>
    </row>
    <row r="12" spans="1:6" x14ac:dyDescent="0.3">
      <c r="A12" s="2" t="s">
        <v>10</v>
      </c>
      <c r="B12" s="20">
        <v>45936</v>
      </c>
      <c r="C12" s="6">
        <v>26753</v>
      </c>
      <c r="D12" s="6">
        <v>26267</v>
      </c>
      <c r="E12" s="3">
        <f t="shared" si="0"/>
        <v>53020</v>
      </c>
    </row>
    <row r="13" spans="1:6" x14ac:dyDescent="0.3">
      <c r="A13" s="2" t="s">
        <v>14</v>
      </c>
      <c r="B13" s="20">
        <v>45937</v>
      </c>
      <c r="C13" s="6">
        <v>25563</v>
      </c>
      <c r="D13" s="6">
        <v>26275</v>
      </c>
      <c r="E13" s="3">
        <f t="shared" si="0"/>
        <v>51838</v>
      </c>
      <c r="F13" s="21" t="s">
        <v>22</v>
      </c>
    </row>
    <row r="14" spans="1:6" x14ac:dyDescent="0.3">
      <c r="A14" s="2" t="s">
        <v>11</v>
      </c>
      <c r="B14" s="20">
        <v>45938</v>
      </c>
      <c r="C14" s="6">
        <v>22678</v>
      </c>
      <c r="D14" s="6">
        <v>22495</v>
      </c>
      <c r="E14" s="3">
        <f t="shared" si="0"/>
        <v>45173</v>
      </c>
      <c r="F14" s="21" t="s">
        <v>22</v>
      </c>
    </row>
    <row r="15" spans="1:6" x14ac:dyDescent="0.3">
      <c r="A15" s="2" t="s">
        <v>13</v>
      </c>
      <c r="B15" s="20">
        <v>45939</v>
      </c>
      <c r="C15" s="6">
        <v>27047</v>
      </c>
      <c r="D15" s="6">
        <v>26503</v>
      </c>
      <c r="E15" s="3">
        <f t="shared" si="0"/>
        <v>53550</v>
      </c>
      <c r="F15" s="7"/>
    </row>
    <row r="16" spans="1:6" x14ac:dyDescent="0.3">
      <c r="A16" s="2" t="s">
        <v>12</v>
      </c>
      <c r="B16" s="20">
        <v>45940</v>
      </c>
      <c r="C16" s="6">
        <v>27854</v>
      </c>
      <c r="D16" s="6">
        <v>27792</v>
      </c>
      <c r="E16" s="3">
        <f t="shared" si="0"/>
        <v>55646</v>
      </c>
      <c r="F16" s="7"/>
    </row>
    <row r="17" spans="1:6" x14ac:dyDescent="0.3">
      <c r="A17" s="2" t="s">
        <v>19</v>
      </c>
      <c r="B17" s="20">
        <v>45941</v>
      </c>
      <c r="C17" s="6">
        <v>23207</v>
      </c>
      <c r="D17" s="6">
        <v>22956</v>
      </c>
      <c r="E17" s="3">
        <f t="shared" si="0"/>
        <v>46163</v>
      </c>
      <c r="F17" s="7"/>
    </row>
    <row r="18" spans="1:6" x14ac:dyDescent="0.3">
      <c r="A18" s="2" t="s">
        <v>16</v>
      </c>
      <c r="B18" s="20">
        <v>45942</v>
      </c>
      <c r="C18" s="6">
        <v>16569</v>
      </c>
      <c r="D18" s="6">
        <v>15123</v>
      </c>
      <c r="E18" s="3">
        <f t="shared" si="0"/>
        <v>31692</v>
      </c>
      <c r="F18" s="4" t="s">
        <v>30</v>
      </c>
    </row>
    <row r="19" spans="1:6" x14ac:dyDescent="0.3">
      <c r="A19" s="2" t="s">
        <v>10</v>
      </c>
      <c r="B19" s="20">
        <v>45943</v>
      </c>
      <c r="C19" s="6">
        <v>14977</v>
      </c>
      <c r="D19" s="6">
        <v>14776</v>
      </c>
      <c r="E19" s="3">
        <f t="shared" si="0"/>
        <v>29753</v>
      </c>
      <c r="F19" s="4" t="s">
        <v>17</v>
      </c>
    </row>
    <row r="20" spans="1:6" x14ac:dyDescent="0.3">
      <c r="A20" s="2" t="s">
        <v>14</v>
      </c>
      <c r="B20" s="20">
        <v>45944</v>
      </c>
      <c r="C20" s="6">
        <v>25801</v>
      </c>
      <c r="D20" s="6">
        <v>25618</v>
      </c>
      <c r="E20" s="3">
        <f t="shared" si="0"/>
        <v>51419</v>
      </c>
      <c r="F20" s="4" t="s">
        <v>28</v>
      </c>
    </row>
    <row r="21" spans="1:6" x14ac:dyDescent="0.3">
      <c r="A21" s="2" t="s">
        <v>11</v>
      </c>
      <c r="B21" s="20">
        <v>45945</v>
      </c>
      <c r="C21" s="6">
        <v>27982</v>
      </c>
      <c r="D21" s="6">
        <v>27691</v>
      </c>
      <c r="E21" s="3">
        <f t="shared" si="0"/>
        <v>55673</v>
      </c>
      <c r="F21" s="7" t="s">
        <v>21</v>
      </c>
    </row>
    <row r="22" spans="1:6" x14ac:dyDescent="0.3">
      <c r="A22" s="2" t="s">
        <v>13</v>
      </c>
      <c r="B22" s="20">
        <v>45946</v>
      </c>
      <c r="C22" s="6">
        <v>26830</v>
      </c>
      <c r="D22" s="2">
        <v>26508</v>
      </c>
      <c r="E22" s="3">
        <f t="shared" si="0"/>
        <v>53338</v>
      </c>
      <c r="F22" s="7"/>
    </row>
    <row r="23" spans="1:6" x14ac:dyDescent="0.3">
      <c r="A23" s="2" t="s">
        <v>12</v>
      </c>
      <c r="B23" s="20">
        <v>45947</v>
      </c>
      <c r="C23" s="6">
        <v>26899</v>
      </c>
      <c r="D23" s="3">
        <v>26916</v>
      </c>
      <c r="E23" s="3">
        <f t="shared" si="0"/>
        <v>53815</v>
      </c>
      <c r="F23" s="7"/>
    </row>
    <row r="24" spans="1:6" x14ac:dyDescent="0.3">
      <c r="A24" s="2" t="s">
        <v>19</v>
      </c>
      <c r="B24" s="20">
        <v>45948</v>
      </c>
      <c r="C24" s="6">
        <v>24610</v>
      </c>
      <c r="D24" s="6">
        <v>23857</v>
      </c>
      <c r="E24" s="3">
        <f t="shared" si="0"/>
        <v>48467</v>
      </c>
      <c r="F24" s="7"/>
    </row>
    <row r="25" spans="1:6" x14ac:dyDescent="0.3">
      <c r="A25" s="2" t="s">
        <v>16</v>
      </c>
      <c r="B25" s="20">
        <v>45949</v>
      </c>
      <c r="C25" s="6">
        <v>21336</v>
      </c>
      <c r="D25" s="8">
        <v>20085</v>
      </c>
      <c r="E25" s="3">
        <f t="shared" si="0"/>
        <v>41421</v>
      </c>
      <c r="F25" s="7"/>
    </row>
    <row r="26" spans="1:6" x14ac:dyDescent="0.3">
      <c r="A26" s="2" t="s">
        <v>10</v>
      </c>
      <c r="B26" s="20">
        <v>45950</v>
      </c>
      <c r="C26" s="6">
        <v>22541</v>
      </c>
      <c r="D26" s="6">
        <v>22095</v>
      </c>
      <c r="E26" s="3">
        <f t="shared" si="0"/>
        <v>44636</v>
      </c>
      <c r="F26" s="7" t="s">
        <v>29</v>
      </c>
    </row>
    <row r="27" spans="1:6" x14ac:dyDescent="0.3">
      <c r="A27" s="2" t="s">
        <v>14</v>
      </c>
      <c r="B27" s="20">
        <v>45951</v>
      </c>
      <c r="C27" s="6">
        <v>26369</v>
      </c>
      <c r="D27" s="6">
        <v>26171</v>
      </c>
      <c r="E27" s="3">
        <f t="shared" si="0"/>
        <v>52540</v>
      </c>
      <c r="F27" s="7"/>
    </row>
    <row r="28" spans="1:6" x14ac:dyDescent="0.3">
      <c r="A28" s="2" t="s">
        <v>11</v>
      </c>
      <c r="B28" s="20">
        <v>45952</v>
      </c>
      <c r="C28" s="6">
        <v>24994</v>
      </c>
      <c r="D28" s="6">
        <v>24542</v>
      </c>
      <c r="E28" s="3">
        <f t="shared" si="0"/>
        <v>49536</v>
      </c>
      <c r="F28" s="7"/>
    </row>
    <row r="29" spans="1:6" x14ac:dyDescent="0.3">
      <c r="A29" s="2" t="s">
        <v>13</v>
      </c>
      <c r="B29" s="20">
        <v>45953</v>
      </c>
      <c r="C29" s="6">
        <v>24368</v>
      </c>
      <c r="D29" s="6">
        <v>24434</v>
      </c>
      <c r="E29" s="3">
        <f t="shared" si="0"/>
        <v>48802</v>
      </c>
      <c r="F29" s="7"/>
    </row>
    <row r="30" spans="1:6" x14ac:dyDescent="0.3">
      <c r="A30" s="2" t="s">
        <v>12</v>
      </c>
      <c r="B30" s="20">
        <v>45954</v>
      </c>
      <c r="C30" s="6">
        <v>26311</v>
      </c>
      <c r="D30" s="6">
        <v>26447</v>
      </c>
      <c r="E30" s="3">
        <f t="shared" si="0"/>
        <v>52758</v>
      </c>
      <c r="F30" s="7"/>
    </row>
    <row r="31" spans="1:6" x14ac:dyDescent="0.3">
      <c r="A31" s="2" t="s">
        <v>19</v>
      </c>
      <c r="B31" s="20">
        <v>45955</v>
      </c>
      <c r="C31" s="6">
        <v>23151</v>
      </c>
      <c r="D31" s="6">
        <v>22633</v>
      </c>
      <c r="E31" s="3">
        <f t="shared" si="0"/>
        <v>45784</v>
      </c>
    </row>
    <row r="32" spans="1:6" x14ac:dyDescent="0.3">
      <c r="A32" s="2" t="s">
        <v>16</v>
      </c>
      <c r="B32" s="20">
        <v>45956</v>
      </c>
      <c r="C32" s="6">
        <v>20016</v>
      </c>
      <c r="D32" s="6">
        <v>18612</v>
      </c>
      <c r="E32" s="3">
        <f t="shared" si="0"/>
        <v>38628</v>
      </c>
    </row>
    <row r="33" spans="1:6" x14ac:dyDescent="0.3">
      <c r="A33" s="2" t="s">
        <v>10</v>
      </c>
      <c r="B33" s="20">
        <v>45957</v>
      </c>
      <c r="C33" s="6">
        <v>26150</v>
      </c>
      <c r="D33" s="6">
        <v>26048</v>
      </c>
      <c r="E33" s="3">
        <f t="shared" si="0"/>
        <v>52198</v>
      </c>
    </row>
    <row r="34" spans="1:6" x14ac:dyDescent="0.3">
      <c r="A34" s="2" t="s">
        <v>14</v>
      </c>
      <c r="B34" s="20">
        <v>45958</v>
      </c>
      <c r="C34" s="6">
        <v>25189</v>
      </c>
      <c r="D34" s="6">
        <v>25060</v>
      </c>
      <c r="E34" s="3">
        <f t="shared" si="0"/>
        <v>50249</v>
      </c>
    </row>
    <row r="35" spans="1:6" x14ac:dyDescent="0.3">
      <c r="A35" s="2" t="s">
        <v>11</v>
      </c>
      <c r="B35" s="20">
        <v>45959</v>
      </c>
      <c r="C35" s="22">
        <v>24842</v>
      </c>
      <c r="D35" s="22">
        <v>24568</v>
      </c>
      <c r="E35" s="3">
        <f t="shared" si="0"/>
        <v>49410</v>
      </c>
    </row>
    <row r="36" spans="1:6" x14ac:dyDescent="0.3">
      <c r="A36" s="2" t="s">
        <v>13</v>
      </c>
      <c r="B36" s="20">
        <v>45960</v>
      </c>
      <c r="C36" s="6">
        <v>24106</v>
      </c>
      <c r="D36" s="6">
        <v>24215</v>
      </c>
      <c r="E36" s="3">
        <f t="shared" si="0"/>
        <v>48321</v>
      </c>
    </row>
    <row r="37" spans="1:6" x14ac:dyDescent="0.3">
      <c r="A37" s="2" t="s">
        <v>12</v>
      </c>
      <c r="B37" s="20">
        <v>45961</v>
      </c>
      <c r="C37" s="6">
        <v>22219</v>
      </c>
      <c r="D37" s="6">
        <v>24252</v>
      </c>
      <c r="E37" s="3">
        <f t="shared" si="0"/>
        <v>46471</v>
      </c>
      <c r="F37" s="4" t="s">
        <v>18</v>
      </c>
    </row>
    <row r="38" spans="1:6" ht="15" thickBot="1" x14ac:dyDescent="0.35">
      <c r="A38" s="34" t="s">
        <v>2</v>
      </c>
      <c r="B38" s="35"/>
      <c r="C38" s="9">
        <f>SUM(C7:C37)</f>
        <v>751024</v>
      </c>
      <c r="D38" s="9">
        <f>SUM(D7:D37)</f>
        <v>741934</v>
      </c>
      <c r="E38" s="9">
        <f>SUM(E7:E37)</f>
        <v>1492958</v>
      </c>
    </row>
    <row r="39" spans="1:6" ht="15" thickBot="1" x14ac:dyDescent="0.35">
      <c r="B39" s="10"/>
      <c r="C39" s="11"/>
      <c r="D39" s="11"/>
      <c r="E39" s="12"/>
    </row>
    <row r="40" spans="1:6" ht="13.5" customHeight="1" thickBot="1" x14ac:dyDescent="0.35">
      <c r="A40" s="25" t="s">
        <v>8</v>
      </c>
      <c r="B40" s="26"/>
      <c r="C40" s="26"/>
      <c r="D40" s="26"/>
      <c r="E40" s="13">
        <f>E38</f>
        <v>1492958</v>
      </c>
    </row>
  </sheetData>
  <mergeCells count="8">
    <mergeCell ref="A4:E4"/>
    <mergeCell ref="A40:D40"/>
    <mergeCell ref="A5:A6"/>
    <mergeCell ref="B5:B6"/>
    <mergeCell ref="C5:C6"/>
    <mergeCell ref="D5:D6"/>
    <mergeCell ref="E5:E6"/>
    <mergeCell ref="A38:B38"/>
  </mergeCells>
  <phoneticPr fontId="1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9A5-2160-40CA-ABD9-5FC2B6D199F3}">
  <dimension ref="A2:G50"/>
  <sheetViews>
    <sheetView topLeftCell="A6" workbookViewId="0">
      <selection activeCell="A35" sqref="A35:A36"/>
    </sheetView>
  </sheetViews>
  <sheetFormatPr defaultColWidth="9.109375" defaultRowHeight="14.4" x14ac:dyDescent="0.3"/>
  <cols>
    <col min="1" max="1" width="8.33203125" style="4" customWidth="1"/>
    <col min="2" max="2" width="11.44140625" style="4" customWidth="1"/>
    <col min="3" max="4" width="13" style="4" customWidth="1"/>
    <col min="5" max="5" width="14" style="4" customWidth="1"/>
    <col min="6" max="6" width="38.88671875" style="4" customWidth="1"/>
    <col min="7" max="7" width="9.109375" style="4"/>
    <col min="8" max="16384" width="9.109375" style="1"/>
  </cols>
  <sheetData>
    <row r="2" spans="1:6" x14ac:dyDescent="0.3">
      <c r="A2" s="39" t="s">
        <v>24</v>
      </c>
      <c r="B2" s="39"/>
      <c r="C2" s="39"/>
      <c r="D2" s="39"/>
      <c r="E2" s="39"/>
    </row>
    <row r="3" spans="1:6" ht="11.25" customHeight="1" x14ac:dyDescent="0.3">
      <c r="A3" s="29" t="s">
        <v>0</v>
      </c>
      <c r="B3" s="29" t="s">
        <v>1</v>
      </c>
      <c r="C3" s="31" t="s">
        <v>3</v>
      </c>
      <c r="D3" s="29" t="s">
        <v>4</v>
      </c>
      <c r="E3" s="38" t="s">
        <v>9</v>
      </c>
    </row>
    <row r="4" spans="1:6" ht="20.25" customHeight="1" x14ac:dyDescent="0.3">
      <c r="A4" s="29"/>
      <c r="B4" s="29"/>
      <c r="C4" s="31"/>
      <c r="D4" s="29"/>
      <c r="E4" s="38"/>
    </row>
    <row r="5" spans="1:6" x14ac:dyDescent="0.3">
      <c r="A5" s="2" t="s">
        <v>11</v>
      </c>
      <c r="B5" s="20">
        <v>45931</v>
      </c>
      <c r="C5" s="6">
        <v>24771</v>
      </c>
      <c r="D5" s="6">
        <v>24422</v>
      </c>
      <c r="E5" s="3">
        <f t="shared" ref="E5:E27" si="0">SUM(C5:D5)</f>
        <v>49193</v>
      </c>
      <c r="F5" s="7" t="s">
        <v>20</v>
      </c>
    </row>
    <row r="6" spans="1:6" x14ac:dyDescent="0.3">
      <c r="A6" s="2" t="s">
        <v>13</v>
      </c>
      <c r="B6" s="20">
        <v>45932</v>
      </c>
      <c r="C6" s="6">
        <v>24263</v>
      </c>
      <c r="D6" s="6">
        <v>24063</v>
      </c>
      <c r="E6" s="3">
        <f t="shared" si="0"/>
        <v>48326</v>
      </c>
      <c r="F6" s="7" t="s">
        <v>20</v>
      </c>
    </row>
    <row r="7" spans="1:6" x14ac:dyDescent="0.3">
      <c r="A7" s="2" t="s">
        <v>12</v>
      </c>
      <c r="B7" s="20">
        <v>45933</v>
      </c>
      <c r="C7" s="6">
        <v>26513</v>
      </c>
      <c r="D7" s="6">
        <v>26542</v>
      </c>
      <c r="E7" s="3">
        <f t="shared" si="0"/>
        <v>53055</v>
      </c>
      <c r="F7" s="7"/>
    </row>
    <row r="8" spans="1:6" x14ac:dyDescent="0.3">
      <c r="A8" s="2" t="s">
        <v>10</v>
      </c>
      <c r="B8" s="20">
        <v>45936</v>
      </c>
      <c r="C8" s="6">
        <v>26753</v>
      </c>
      <c r="D8" s="6">
        <v>26267</v>
      </c>
      <c r="E8" s="3">
        <f t="shared" si="0"/>
        <v>53020</v>
      </c>
      <c r="F8" s="7"/>
    </row>
    <row r="9" spans="1:6" x14ac:dyDescent="0.3">
      <c r="A9" s="2" t="s">
        <v>14</v>
      </c>
      <c r="B9" s="20">
        <v>45937</v>
      </c>
      <c r="C9" s="6">
        <v>25563</v>
      </c>
      <c r="D9" s="6">
        <v>26275</v>
      </c>
      <c r="E9" s="3">
        <f t="shared" si="0"/>
        <v>51838</v>
      </c>
      <c r="F9" s="21" t="s">
        <v>22</v>
      </c>
    </row>
    <row r="10" spans="1:6" x14ac:dyDescent="0.3">
      <c r="A10" s="2" t="s">
        <v>11</v>
      </c>
      <c r="B10" s="20">
        <v>45938</v>
      </c>
      <c r="C10" s="6">
        <v>22678</v>
      </c>
      <c r="D10" s="6">
        <v>22495</v>
      </c>
      <c r="E10" s="3">
        <f t="shared" si="0"/>
        <v>45173</v>
      </c>
      <c r="F10" s="21" t="s">
        <v>22</v>
      </c>
    </row>
    <row r="11" spans="1:6" x14ac:dyDescent="0.3">
      <c r="A11" s="2" t="s">
        <v>13</v>
      </c>
      <c r="B11" s="20">
        <v>45939</v>
      </c>
      <c r="C11" s="6">
        <v>27047</v>
      </c>
      <c r="D11" s="6">
        <v>26503</v>
      </c>
      <c r="E11" s="3">
        <f>SUM(C11:D11)</f>
        <v>53550</v>
      </c>
    </row>
    <row r="12" spans="1:6" x14ac:dyDescent="0.3">
      <c r="A12" s="2" t="s">
        <v>12</v>
      </c>
      <c r="B12" s="20">
        <v>45940</v>
      </c>
      <c r="C12" s="6">
        <v>27854</v>
      </c>
      <c r="D12" s="6">
        <v>27792</v>
      </c>
      <c r="E12" s="3">
        <f t="shared" si="0"/>
        <v>55646</v>
      </c>
    </row>
    <row r="13" spans="1:6" x14ac:dyDescent="0.3">
      <c r="A13" s="2" t="s">
        <v>10</v>
      </c>
      <c r="B13" s="20">
        <v>45943</v>
      </c>
      <c r="C13" s="6">
        <v>14977</v>
      </c>
      <c r="D13" s="6">
        <v>14776</v>
      </c>
      <c r="E13" s="3">
        <f t="shared" si="0"/>
        <v>29753</v>
      </c>
      <c r="F13" s="4" t="s">
        <v>17</v>
      </c>
    </row>
    <row r="14" spans="1:6" x14ac:dyDescent="0.3">
      <c r="A14" s="2" t="s">
        <v>14</v>
      </c>
      <c r="B14" s="20">
        <v>45944</v>
      </c>
      <c r="C14" s="6">
        <v>25801</v>
      </c>
      <c r="D14" s="6">
        <v>25618</v>
      </c>
      <c r="E14" s="3">
        <f t="shared" si="0"/>
        <v>51419</v>
      </c>
      <c r="F14" s="4" t="s">
        <v>28</v>
      </c>
    </row>
    <row r="15" spans="1:6" x14ac:dyDescent="0.3">
      <c r="A15" s="2" t="s">
        <v>11</v>
      </c>
      <c r="B15" s="20">
        <v>45945</v>
      </c>
      <c r="C15" s="6">
        <v>27982</v>
      </c>
      <c r="D15" s="6">
        <v>27691</v>
      </c>
      <c r="E15" s="3">
        <f t="shared" si="0"/>
        <v>55673</v>
      </c>
      <c r="F15" s="7" t="s">
        <v>21</v>
      </c>
    </row>
    <row r="16" spans="1:6" x14ac:dyDescent="0.3">
      <c r="A16" s="2" t="s">
        <v>13</v>
      </c>
      <c r="B16" s="20">
        <v>45946</v>
      </c>
      <c r="C16" s="6">
        <v>26830</v>
      </c>
      <c r="D16" s="2">
        <v>26508</v>
      </c>
      <c r="E16" s="3">
        <f t="shared" si="0"/>
        <v>53338</v>
      </c>
    </row>
    <row r="17" spans="1:6" x14ac:dyDescent="0.3">
      <c r="A17" s="2" t="s">
        <v>12</v>
      </c>
      <c r="B17" s="20">
        <v>45947</v>
      </c>
      <c r="C17" s="6">
        <v>26899</v>
      </c>
      <c r="D17" s="6">
        <v>26916</v>
      </c>
      <c r="E17" s="3">
        <f>SUM(C17:D17)</f>
        <v>53815</v>
      </c>
      <c r="F17" s="7"/>
    </row>
    <row r="18" spans="1:6" x14ac:dyDescent="0.3">
      <c r="A18" s="2" t="s">
        <v>10</v>
      </c>
      <c r="B18" s="20">
        <v>45950</v>
      </c>
      <c r="C18" s="6">
        <v>22541</v>
      </c>
      <c r="D18" s="6">
        <v>22095</v>
      </c>
      <c r="E18" s="3">
        <f t="shared" si="0"/>
        <v>44636</v>
      </c>
      <c r="F18" s="7" t="s">
        <v>29</v>
      </c>
    </row>
    <row r="19" spans="1:6" x14ac:dyDescent="0.3">
      <c r="A19" s="2" t="s">
        <v>14</v>
      </c>
      <c r="B19" s="20">
        <v>45951</v>
      </c>
      <c r="C19" s="6">
        <v>26369</v>
      </c>
      <c r="D19" s="6">
        <v>26171</v>
      </c>
      <c r="E19" s="3">
        <f t="shared" si="0"/>
        <v>52540</v>
      </c>
    </row>
    <row r="20" spans="1:6" x14ac:dyDescent="0.3">
      <c r="A20" s="2" t="s">
        <v>11</v>
      </c>
      <c r="B20" s="20">
        <v>45952</v>
      </c>
      <c r="C20" s="6">
        <v>24994</v>
      </c>
      <c r="D20" s="6">
        <v>24542</v>
      </c>
      <c r="E20" s="3">
        <f t="shared" si="0"/>
        <v>49536</v>
      </c>
      <c r="F20" s="7"/>
    </row>
    <row r="21" spans="1:6" x14ac:dyDescent="0.3">
      <c r="A21" s="2" t="s">
        <v>13</v>
      </c>
      <c r="B21" s="20">
        <v>45953</v>
      </c>
      <c r="C21" s="6">
        <v>24368</v>
      </c>
      <c r="D21" s="6">
        <v>24434</v>
      </c>
      <c r="E21" s="3">
        <f t="shared" si="0"/>
        <v>48802</v>
      </c>
      <c r="F21" s="7"/>
    </row>
    <row r="22" spans="1:6" x14ac:dyDescent="0.3">
      <c r="A22" s="2" t="s">
        <v>12</v>
      </c>
      <c r="B22" s="20">
        <v>45954</v>
      </c>
      <c r="C22" s="6">
        <v>26311</v>
      </c>
      <c r="D22" s="6">
        <v>26447</v>
      </c>
      <c r="E22" s="3">
        <f t="shared" si="0"/>
        <v>52758</v>
      </c>
      <c r="F22" s="7"/>
    </row>
    <row r="23" spans="1:6" x14ac:dyDescent="0.3">
      <c r="A23" s="2" t="s">
        <v>10</v>
      </c>
      <c r="B23" s="20">
        <v>45957</v>
      </c>
      <c r="C23" s="6">
        <v>26150</v>
      </c>
      <c r="D23" s="6">
        <v>26048</v>
      </c>
      <c r="E23" s="3">
        <f t="shared" si="0"/>
        <v>52198</v>
      </c>
    </row>
    <row r="24" spans="1:6" x14ac:dyDescent="0.3">
      <c r="A24" s="2" t="s">
        <v>14</v>
      </c>
      <c r="B24" s="20">
        <v>45958</v>
      </c>
      <c r="C24" s="6">
        <v>25189</v>
      </c>
      <c r="D24" s="6">
        <v>25060</v>
      </c>
      <c r="E24" s="3">
        <f t="shared" si="0"/>
        <v>50249</v>
      </c>
    </row>
    <row r="25" spans="1:6" x14ac:dyDescent="0.3">
      <c r="A25" s="2" t="s">
        <v>11</v>
      </c>
      <c r="B25" s="20">
        <v>45959</v>
      </c>
      <c r="C25" s="6">
        <v>24842</v>
      </c>
      <c r="D25" s="6">
        <v>24568</v>
      </c>
      <c r="E25" s="3">
        <f t="shared" si="0"/>
        <v>49410</v>
      </c>
    </row>
    <row r="26" spans="1:6" x14ac:dyDescent="0.3">
      <c r="A26" s="2" t="s">
        <v>13</v>
      </c>
      <c r="B26" s="20">
        <v>45960</v>
      </c>
      <c r="C26" s="6">
        <v>24106</v>
      </c>
      <c r="D26" s="6">
        <v>24215</v>
      </c>
      <c r="E26" s="3">
        <f t="shared" si="0"/>
        <v>48321</v>
      </c>
    </row>
    <row r="27" spans="1:6" x14ac:dyDescent="0.3">
      <c r="A27" s="2" t="s">
        <v>12</v>
      </c>
      <c r="B27" s="20">
        <v>45961</v>
      </c>
      <c r="C27" s="6">
        <v>22219</v>
      </c>
      <c r="D27" s="6">
        <v>24252</v>
      </c>
      <c r="E27" s="3">
        <f t="shared" si="0"/>
        <v>46471</v>
      </c>
      <c r="F27" s="4" t="s">
        <v>18</v>
      </c>
    </row>
    <row r="28" spans="1:6" x14ac:dyDescent="0.3">
      <c r="A28" s="36" t="s">
        <v>2</v>
      </c>
      <c r="B28" s="36"/>
      <c r="C28" s="14">
        <f>SUM(C5:C27)</f>
        <v>575020</v>
      </c>
      <c r="D28" s="14">
        <f>SUM(D5:D27)</f>
        <v>573700</v>
      </c>
      <c r="E28" s="14">
        <f>SUM(E5:E27)</f>
        <v>1148720</v>
      </c>
    </row>
    <row r="29" spans="1:6" x14ac:dyDescent="0.3">
      <c r="C29" s="15"/>
      <c r="D29" s="15"/>
      <c r="E29" s="15"/>
    </row>
    <row r="30" spans="1:6" x14ac:dyDescent="0.3">
      <c r="A30" s="37" t="s">
        <v>25</v>
      </c>
      <c r="B30" s="37"/>
      <c r="C30" s="37"/>
      <c r="D30" s="37"/>
      <c r="E30" s="16">
        <f>E28</f>
        <v>1148720</v>
      </c>
    </row>
    <row r="31" spans="1:6" x14ac:dyDescent="0.3">
      <c r="A31" s="37" t="s">
        <v>7</v>
      </c>
      <c r="B31" s="37"/>
      <c r="C31" s="37"/>
      <c r="D31" s="37"/>
      <c r="E31" s="16">
        <f>AVERAGE(E5:E27)</f>
        <v>49944.34782608696</v>
      </c>
    </row>
    <row r="32" spans="1:6" x14ac:dyDescent="0.3">
      <c r="A32" s="40"/>
      <c r="B32" s="40"/>
      <c r="C32" s="40"/>
      <c r="D32" s="40"/>
      <c r="E32" s="41"/>
    </row>
    <row r="34" spans="1:6" x14ac:dyDescent="0.3">
      <c r="A34" s="39" t="s">
        <v>26</v>
      </c>
      <c r="B34" s="39"/>
      <c r="C34" s="39"/>
      <c r="D34" s="39"/>
      <c r="E34" s="39"/>
    </row>
    <row r="35" spans="1:6" x14ac:dyDescent="0.3">
      <c r="A35" s="29" t="s">
        <v>0</v>
      </c>
      <c r="B35" s="29" t="s">
        <v>1</v>
      </c>
      <c r="C35" s="31" t="s">
        <v>3</v>
      </c>
      <c r="D35" s="31" t="s">
        <v>4</v>
      </c>
      <c r="E35" s="38" t="s">
        <v>9</v>
      </c>
    </row>
    <row r="36" spans="1:6" ht="11.25" customHeight="1" x14ac:dyDescent="0.3">
      <c r="A36" s="29"/>
      <c r="B36" s="29"/>
      <c r="C36" s="31"/>
      <c r="D36" s="31"/>
      <c r="E36" s="38"/>
    </row>
    <row r="37" spans="1:6" x14ac:dyDescent="0.3">
      <c r="A37" s="2" t="s">
        <v>19</v>
      </c>
      <c r="B37" s="17">
        <v>45934</v>
      </c>
      <c r="C37" s="6">
        <v>25414</v>
      </c>
      <c r="D37" s="8">
        <v>24718</v>
      </c>
      <c r="E37" s="3">
        <f t="shared" ref="E37:E44" si="1">SUM(C37:D37)</f>
        <v>50132</v>
      </c>
    </row>
    <row r="38" spans="1:6" x14ac:dyDescent="0.3">
      <c r="A38" s="2" t="s">
        <v>16</v>
      </c>
      <c r="B38" s="17">
        <v>45935</v>
      </c>
      <c r="C38" s="6">
        <v>21701</v>
      </c>
      <c r="D38" s="8">
        <v>20250</v>
      </c>
      <c r="E38" s="3">
        <f t="shared" si="1"/>
        <v>41951</v>
      </c>
      <c r="F38" s="7"/>
    </row>
    <row r="39" spans="1:6" x14ac:dyDescent="0.3">
      <c r="A39" s="2" t="s">
        <v>19</v>
      </c>
      <c r="B39" s="17">
        <v>45941</v>
      </c>
      <c r="C39" s="6">
        <v>23207</v>
      </c>
      <c r="D39" s="8">
        <v>22956</v>
      </c>
      <c r="E39" s="3">
        <f t="shared" si="1"/>
        <v>46163</v>
      </c>
      <c r="F39" s="7"/>
    </row>
    <row r="40" spans="1:6" x14ac:dyDescent="0.3">
      <c r="A40" s="2" t="s">
        <v>16</v>
      </c>
      <c r="B40" s="17">
        <v>45942</v>
      </c>
      <c r="C40" s="6">
        <v>16569</v>
      </c>
      <c r="D40" s="8">
        <v>15123</v>
      </c>
      <c r="E40" s="3">
        <f t="shared" si="1"/>
        <v>31692</v>
      </c>
      <c r="F40" s="4" t="s">
        <v>30</v>
      </c>
    </row>
    <row r="41" spans="1:6" x14ac:dyDescent="0.3">
      <c r="A41" s="2" t="s">
        <v>19</v>
      </c>
      <c r="B41" s="17">
        <v>45948</v>
      </c>
      <c r="C41" s="6">
        <v>24610</v>
      </c>
      <c r="D41" s="8">
        <v>23857</v>
      </c>
      <c r="E41" s="3">
        <f t="shared" si="1"/>
        <v>48467</v>
      </c>
    </row>
    <row r="42" spans="1:6" x14ac:dyDescent="0.3">
      <c r="A42" s="2" t="s">
        <v>16</v>
      </c>
      <c r="B42" s="17">
        <v>45949</v>
      </c>
      <c r="C42" s="6">
        <v>21336</v>
      </c>
      <c r="D42" s="6">
        <v>20085</v>
      </c>
      <c r="E42" s="3">
        <f t="shared" si="1"/>
        <v>41421</v>
      </c>
    </row>
    <row r="43" spans="1:6" x14ac:dyDescent="0.3">
      <c r="A43" s="2" t="s">
        <v>19</v>
      </c>
      <c r="B43" s="17">
        <v>45955</v>
      </c>
      <c r="C43" s="6">
        <v>23151</v>
      </c>
      <c r="D43" s="6">
        <v>22633</v>
      </c>
      <c r="E43" s="3">
        <f t="shared" si="1"/>
        <v>45784</v>
      </c>
    </row>
    <row r="44" spans="1:6" x14ac:dyDescent="0.3">
      <c r="A44" s="2" t="s">
        <v>16</v>
      </c>
      <c r="B44" s="17">
        <v>45956</v>
      </c>
      <c r="C44" s="6">
        <v>20016</v>
      </c>
      <c r="D44" s="6">
        <v>18612</v>
      </c>
      <c r="E44" s="3">
        <f t="shared" si="1"/>
        <v>38628</v>
      </c>
    </row>
    <row r="45" spans="1:6" x14ac:dyDescent="0.3">
      <c r="A45" s="36" t="s">
        <v>2</v>
      </c>
      <c r="B45" s="36"/>
      <c r="C45" s="14">
        <f>SUM(C37:C44)</f>
        <v>176004</v>
      </c>
      <c r="D45" s="14">
        <f>SUM(D37:D44)</f>
        <v>168234</v>
      </c>
      <c r="E45" s="14">
        <f>SUM(E37:E44)</f>
        <v>344238</v>
      </c>
    </row>
    <row r="46" spans="1:6" x14ac:dyDescent="0.3">
      <c r="C46" s="15" t="s">
        <v>15</v>
      </c>
      <c r="D46" s="15"/>
      <c r="E46" s="15"/>
    </row>
    <row r="47" spans="1:6" ht="16.5" customHeight="1" x14ac:dyDescent="0.3">
      <c r="A47" s="37" t="s">
        <v>27</v>
      </c>
      <c r="B47" s="37"/>
      <c r="C47" s="37"/>
      <c r="D47" s="37"/>
      <c r="E47" s="18">
        <f>E45</f>
        <v>344238</v>
      </c>
    </row>
    <row r="48" spans="1:6" x14ac:dyDescent="0.3">
      <c r="A48" s="19"/>
      <c r="B48" s="19"/>
      <c r="C48" s="19"/>
      <c r="D48" s="19"/>
      <c r="E48" s="19"/>
    </row>
    <row r="49" spans="1:5" ht="14.25" customHeight="1" x14ac:dyDescent="0.3">
      <c r="A49" s="37" t="s">
        <v>5</v>
      </c>
      <c r="B49" s="37"/>
      <c r="C49" s="37"/>
      <c r="D49" s="37"/>
      <c r="E49" s="18">
        <f xml:space="preserve"> AVERAGE(E37,E39,E41,E43)</f>
        <v>47636.5</v>
      </c>
    </row>
    <row r="50" spans="1:5" x14ac:dyDescent="0.3">
      <c r="A50" s="37" t="s">
        <v>6</v>
      </c>
      <c r="B50" s="37"/>
      <c r="C50" s="37"/>
      <c r="D50" s="37"/>
      <c r="E50" s="18">
        <f xml:space="preserve"> AVERAGE(E38,E40,E42,E44)</f>
        <v>38423</v>
      </c>
    </row>
  </sheetData>
  <mergeCells count="19">
    <mergeCell ref="A2:E2"/>
    <mergeCell ref="A3:A4"/>
    <mergeCell ref="B3:B4"/>
    <mergeCell ref="C3:C4"/>
    <mergeCell ref="D3:D4"/>
    <mergeCell ref="E3:E4"/>
    <mergeCell ref="A28:B28"/>
    <mergeCell ref="A30:D30"/>
    <mergeCell ref="A31:D31"/>
    <mergeCell ref="A34:E34"/>
    <mergeCell ref="A35:A36"/>
    <mergeCell ref="B35:B36"/>
    <mergeCell ref="C35:C36"/>
    <mergeCell ref="D35:D36"/>
    <mergeCell ref="A45:B45"/>
    <mergeCell ref="A47:D47"/>
    <mergeCell ref="E35:E36"/>
    <mergeCell ref="A49:D49"/>
    <mergeCell ref="A50:D50"/>
  </mergeCells>
  <phoneticPr fontId="3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6c143254a575afcdc183da55b7f9308e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36ef9fcc989a8c4c122708c355a58a6d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99BA31-C9E7-441E-B922-92A04F4952C1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infopath/2007/PartnerControls"/>
    <ds:schemaRef ds:uri="670d3029-f9df-404e-98fc-7004dcdec636"/>
    <ds:schemaRef ds:uri="http://schemas.openxmlformats.org/package/2006/metadata/core-properties"/>
    <ds:schemaRef ds:uri="5f7ac3ca-9ce0-489a-bc70-1e3f2f642f01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30DAEC6-7C5E-4FE4-8C5E-034A45C2EC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2B155B-3551-49DE-B05E-93E34B71C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2026-04-09T23:47:43Z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